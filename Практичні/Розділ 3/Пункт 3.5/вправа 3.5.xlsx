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Ludmila\наш учебники\учебник 9 кл 2021\Текст\Раздел 3 ЛА\файлы заготовки раздел 3\Пункт 3.5\"/>
    </mc:Choice>
  </mc:AlternateContent>
  <xr:revisionPtr revIDLastSave="0" documentId="13_ncr:1_{D6B5C523-ACA4-4E26-A16A-F6647B3FC5C3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Аркуш1" sheetId="1" r:id="rId1"/>
    <sheet name="Аркуш2" sheetId="9" r:id="rId2"/>
    <sheet name="Аркуш3" sheetId="10" r:id="rId3"/>
    <sheet name="Аркуш4" sheetId="7" r:id="rId4"/>
    <sheet name="Аркуш5" sheetId="11" r:id="rId5"/>
  </sheets>
  <definedNames>
    <definedName name="_xlnm._FilterDatabase" localSheetId="0" hidden="1">Аркуш1!$B$4:$G$25</definedName>
    <definedName name="_xlnm._FilterDatabase" localSheetId="1" hidden="1">Аркуш2!$B$4:$K$4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7" i="7" l="1"/>
  <c r="I27" i="7"/>
  <c r="J26" i="7"/>
  <c r="I26" i="7"/>
  <c r="J25" i="7"/>
  <c r="I25" i="7"/>
  <c r="J24" i="7"/>
  <c r="I24" i="7"/>
  <c r="J23" i="7"/>
  <c r="I23" i="7"/>
  <c r="J22" i="7"/>
  <c r="I22" i="7"/>
  <c r="J21" i="7"/>
  <c r="I21" i="7"/>
  <c r="J20" i="7"/>
  <c r="I20" i="7"/>
  <c r="J19" i="7"/>
  <c r="I19" i="7"/>
  <c r="J18" i="7"/>
  <c r="I18" i="7"/>
  <c r="J17" i="7"/>
  <c r="I17" i="7"/>
  <c r="J16" i="7"/>
  <c r="I16" i="7"/>
  <c r="J15" i="7"/>
  <c r="I15" i="7"/>
  <c r="J14" i="7"/>
  <c r="I14" i="7"/>
  <c r="J13" i="7"/>
  <c r="I13" i="7"/>
  <c r="J12" i="7"/>
  <c r="I12" i="7"/>
  <c r="J11" i="7"/>
  <c r="I11" i="7"/>
  <c r="J10" i="7"/>
  <c r="I10" i="7"/>
  <c r="J9" i="7"/>
  <c r="I9" i="7"/>
  <c r="J8" i="7"/>
  <c r="I8" i="7"/>
  <c r="J7" i="7"/>
  <c r="I7" i="7"/>
  <c r="J6" i="7"/>
  <c r="I6" i="7"/>
  <c r="J5" i="7"/>
  <c r="I5" i="7"/>
  <c r="J4" i="7"/>
  <c r="I4" i="7"/>
  <c r="J3" i="7"/>
  <c r="I3" i="7"/>
</calcChain>
</file>

<file path=xl/sharedStrings.xml><?xml version="1.0" encoding="utf-8"?>
<sst xmlns="http://schemas.openxmlformats.org/spreadsheetml/2006/main" count="346" uniqueCount="123">
  <si>
    <t>Прізвище</t>
  </si>
  <si>
    <t>Ім'я</t>
  </si>
  <si>
    <t>Рік народження</t>
  </si>
  <si>
    <t>Місце народження</t>
  </si>
  <si>
    <t>Харків</t>
  </si>
  <si>
    <t>Дніпро</t>
  </si>
  <si>
    <t>Полтава</t>
  </si>
  <si>
    <t>Миколаїв</t>
  </si>
  <si>
    <t>Запоріжжя</t>
  </si>
  <si>
    <t>Київ</t>
  </si>
  <si>
    <t>Одеса</t>
  </si>
  <si>
    <t>Тернопіль</t>
  </si>
  <si>
    <t>Кременчук</t>
  </si>
  <si>
    <t>Львів</t>
  </si>
  <si>
    <t xml:space="preserve">Список учасників підсумкових змагань
 з легкої атлетики </t>
  </si>
  <si>
    <t>Тетяна</t>
  </si>
  <si>
    <t>Олена</t>
  </si>
  <si>
    <t>Безруков</t>
  </si>
  <si>
    <t>Костильов</t>
  </si>
  <si>
    <t>Бесеганич</t>
  </si>
  <si>
    <t>Інна</t>
  </si>
  <si>
    <t>Вакерич</t>
  </si>
  <si>
    <t>Михайло</t>
  </si>
  <si>
    <t>Михайлович</t>
  </si>
  <si>
    <t>Губська</t>
  </si>
  <si>
    <t xml:space="preserve">Заморока </t>
  </si>
  <si>
    <t xml:space="preserve">Зінченко </t>
  </si>
  <si>
    <t>Киричук</t>
  </si>
  <si>
    <t>клименко</t>
  </si>
  <si>
    <t xml:space="preserve">Микола </t>
  </si>
  <si>
    <t>Мигаль</t>
  </si>
  <si>
    <t>Андрій</t>
  </si>
  <si>
    <t>Мірутенко</t>
  </si>
  <si>
    <t>Владислав</t>
  </si>
  <si>
    <t>Сабодош</t>
  </si>
  <si>
    <t>Симочко</t>
  </si>
  <si>
    <t>Сіренко</t>
  </si>
  <si>
    <t>Спрягайло</t>
  </si>
  <si>
    <t>Олександр</t>
  </si>
  <si>
    <t>Федоряк</t>
  </si>
  <si>
    <t>Ходосовцев</t>
  </si>
  <si>
    <t>Чернявський</t>
  </si>
  <si>
    <t>Яременко</t>
  </si>
  <si>
    <t>Володимир</t>
  </si>
  <si>
    <t>Ольга</t>
  </si>
  <si>
    <t xml:space="preserve">Задорожний </t>
  </si>
  <si>
    <t xml:space="preserve">Костянтин </t>
  </si>
  <si>
    <t xml:space="preserve">Галина </t>
  </si>
  <si>
    <t xml:space="preserve">Олександр </t>
  </si>
  <si>
    <t xml:space="preserve">Людмила </t>
  </si>
  <si>
    <t>Артур</t>
  </si>
  <si>
    <t>Марія</t>
  </si>
  <si>
    <t>Анна</t>
  </si>
  <si>
    <t>Мудра</t>
  </si>
  <si>
    <t>Суми</t>
  </si>
  <si>
    <t>Зріст, м</t>
  </si>
  <si>
    <t>Книжковий магазин</t>
  </si>
  <si>
    <r>
      <rPr>
        <sz val="11.5"/>
        <rFont val="Times New Roman"/>
        <family val="1"/>
        <charset val="204"/>
      </rPr>
      <t>Ім'я</t>
    </r>
  </si>
  <si>
    <t>Назва</t>
  </si>
  <si>
    <r>
      <rPr>
        <sz val="11.5"/>
        <rFont val="Times New Roman"/>
        <family val="1"/>
        <charset val="204"/>
      </rPr>
      <t>Жанр</t>
    </r>
  </si>
  <si>
    <r>
      <rPr>
        <sz val="11.5"/>
        <rFont val="Times New Roman"/>
        <family val="1"/>
        <charset val="204"/>
      </rPr>
      <t>Надійшло</t>
    </r>
  </si>
  <si>
    <t>Фірма</t>
  </si>
  <si>
    <r>
      <rPr>
        <sz val="11.5"/>
        <rFont val="Times New Roman"/>
        <family val="1"/>
        <charset val="204"/>
      </rPr>
      <t>Продано</t>
    </r>
  </si>
  <si>
    <r>
      <rPr>
        <sz val="11.5"/>
        <rFont val="Times New Roman"/>
        <family val="1"/>
        <charset val="204"/>
      </rPr>
      <t>Ціна</t>
    </r>
  </si>
  <si>
    <r>
      <rPr>
        <sz val="11.5"/>
        <rFont val="Times New Roman"/>
        <family val="1"/>
        <charset val="204"/>
      </rPr>
      <t>Прибуток</t>
    </r>
  </si>
  <si>
    <r>
      <rPr>
        <sz val="11.5"/>
        <rFont val="Times New Roman"/>
        <family val="1"/>
        <charset val="204"/>
      </rPr>
      <t>Остача</t>
    </r>
  </si>
  <si>
    <r>
      <rPr>
        <sz val="11.5"/>
        <rFont val="Times New Roman"/>
        <family val="1"/>
        <charset val="204"/>
      </rPr>
      <t>Симоненко</t>
    </r>
  </si>
  <si>
    <r>
      <rPr>
        <sz val="11.5"/>
        <rFont val="Times New Roman"/>
        <family val="1"/>
        <charset val="204"/>
      </rPr>
      <t>Василь</t>
    </r>
  </si>
  <si>
    <r>
      <rPr>
        <sz val="11.5"/>
        <rFont val="Times New Roman"/>
        <family val="1"/>
        <charset val="204"/>
      </rPr>
      <t>Вибране</t>
    </r>
  </si>
  <si>
    <r>
      <rPr>
        <sz val="11.5"/>
        <rFont val="Times New Roman"/>
        <family val="1"/>
        <charset val="204"/>
      </rPr>
      <t>Вірші</t>
    </r>
  </si>
  <si>
    <r>
      <rPr>
        <sz val="11.5"/>
        <rFont val="Times New Roman"/>
        <family val="1"/>
        <charset val="204"/>
      </rPr>
      <t>Орфей</t>
    </r>
  </si>
  <si>
    <r>
      <rPr>
        <sz val="11.5"/>
        <rFont val="Times New Roman"/>
        <family val="1"/>
        <charset val="204"/>
      </rPr>
      <t>Кушнір</t>
    </r>
  </si>
  <si>
    <t>Віктор</t>
  </si>
  <si>
    <t>Повернения</t>
  </si>
  <si>
    <r>
      <rPr>
        <sz val="11.5"/>
        <rFont val="Times New Roman"/>
        <family val="1"/>
        <charset val="204"/>
      </rPr>
      <t>Бураго</t>
    </r>
  </si>
  <si>
    <r>
      <rPr>
        <sz val="11.5"/>
        <rFont val="Times New Roman"/>
        <family val="1"/>
        <charset val="204"/>
      </rPr>
      <t>Дмитро</t>
    </r>
  </si>
  <si>
    <t>Ехо мертвого озера</t>
  </si>
  <si>
    <t>Павличко</t>
  </si>
  <si>
    <t>Моя земля</t>
  </si>
  <si>
    <r>
      <rPr>
        <sz val="11.5"/>
        <rFont val="Times New Roman"/>
        <family val="1"/>
        <charset val="204"/>
      </rPr>
      <t>Сепена</t>
    </r>
  </si>
  <si>
    <r>
      <rPr>
        <sz val="11.5"/>
        <rFont val="Times New Roman"/>
        <family val="1"/>
        <charset val="204"/>
      </rPr>
      <t>Сонети</t>
    </r>
  </si>
  <si>
    <r>
      <rPr>
        <sz val="11.5"/>
        <rFont val="Times New Roman"/>
        <family val="1"/>
        <charset val="204"/>
      </rPr>
      <t>Селена</t>
    </r>
  </si>
  <si>
    <t>Три строфи</t>
  </si>
  <si>
    <r>
      <rPr>
        <sz val="11.5"/>
        <rFont val="Times New Roman"/>
        <family val="1"/>
        <charset val="204"/>
      </rPr>
      <t>Тріумф</t>
    </r>
  </si>
  <si>
    <r>
      <rPr>
        <sz val="11.5"/>
        <rFont val="Times New Roman"/>
        <family val="1"/>
        <charset val="204"/>
      </rPr>
      <t>Вороний</t>
    </r>
  </si>
  <si>
    <r>
      <rPr>
        <sz val="11.5"/>
        <rFont val="Times New Roman"/>
        <family val="1"/>
        <charset val="204"/>
      </rPr>
      <t>Микола</t>
    </r>
  </si>
  <si>
    <t>Ліричні поезії</t>
  </si>
  <si>
    <r>
      <rPr>
        <sz val="11.5"/>
        <rFont val="Times New Roman"/>
        <family val="1"/>
        <charset val="204"/>
      </rPr>
      <t>Вінграновський</t>
    </r>
  </si>
  <si>
    <r>
      <rPr>
        <sz val="11.5"/>
        <rFont val="Times New Roman"/>
        <family val="1"/>
        <charset val="204"/>
      </rPr>
      <t>Первинка</t>
    </r>
  </si>
  <si>
    <r>
      <rPr>
        <sz val="11.5"/>
        <rFont val="Times New Roman"/>
        <family val="1"/>
        <charset val="204"/>
      </rPr>
      <t>Киів</t>
    </r>
  </si>
  <si>
    <t>Стельмах</t>
  </si>
  <si>
    <r>
      <rPr>
        <sz val="11.5"/>
        <rFont val="Times New Roman"/>
        <family val="1"/>
        <charset val="204"/>
      </rPr>
      <t>Михайло</t>
    </r>
  </si>
  <si>
    <r>
      <rPr>
        <sz val="11.5"/>
        <rFont val="Times New Roman"/>
        <family val="1"/>
        <charset val="204"/>
      </rPr>
      <t>Чотири броди</t>
    </r>
  </si>
  <si>
    <r>
      <rPr>
        <sz val="11.5"/>
        <rFont val="Times New Roman"/>
        <family val="1"/>
        <charset val="204"/>
      </rPr>
      <t>Проза</t>
    </r>
  </si>
  <si>
    <r>
      <rPr>
        <sz val="11.5"/>
        <rFont val="Times New Roman"/>
        <family val="1"/>
        <charset val="204"/>
      </rPr>
      <t>Старицький</t>
    </r>
  </si>
  <si>
    <t>Історичні романи</t>
  </si>
  <si>
    <t>Забіна</t>
  </si>
  <si>
    <r>
      <rPr>
        <sz val="11.5"/>
        <rFont val="Times New Roman"/>
        <family val="1"/>
        <charset val="204"/>
      </rPr>
      <t>Наталя</t>
    </r>
  </si>
  <si>
    <t>Ясочкина книжка</t>
  </si>
  <si>
    <t>Веселим малюкам</t>
  </si>
  <si>
    <r>
      <rPr>
        <sz val="11.5"/>
        <rFont val="Times New Roman"/>
        <family val="1"/>
        <charset val="204"/>
      </rPr>
      <t>Забужко</t>
    </r>
  </si>
  <si>
    <r>
      <rPr>
        <sz val="11.5"/>
        <rFont val="Times New Roman"/>
        <family val="1"/>
        <charset val="204"/>
      </rPr>
      <t>Оксана</t>
    </r>
  </si>
  <si>
    <r>
      <rPr>
        <sz val="11.5"/>
        <rFont val="Times New Roman"/>
        <family val="1"/>
        <charset val="204"/>
      </rPr>
      <t>Сестро, сестро</t>
    </r>
  </si>
  <si>
    <r>
      <rPr>
        <sz val="11.5"/>
        <rFont val="Times New Roman"/>
        <family val="1"/>
        <charset val="204"/>
      </rPr>
      <t>Інопланетянка</t>
    </r>
  </si>
  <si>
    <t>Друга спроба</t>
  </si>
  <si>
    <r>
      <rPr>
        <sz val="11.5"/>
        <rFont val="Times New Roman"/>
        <family val="1"/>
        <charset val="204"/>
      </rPr>
      <t>Бердник</t>
    </r>
  </si>
  <si>
    <r>
      <rPr>
        <sz val="11.5"/>
        <rFont val="Times New Roman"/>
        <family val="1"/>
        <charset val="204"/>
      </rPr>
      <t>Олесь</t>
    </r>
  </si>
  <si>
    <r>
      <rPr>
        <sz val="11.5"/>
        <rFont val="Times New Roman"/>
        <family val="1"/>
        <charset val="204"/>
      </rPr>
      <t>Камертон Дажбога</t>
    </r>
  </si>
  <si>
    <r>
      <rPr>
        <sz val="11.5"/>
        <rFont val="Times New Roman"/>
        <family val="1"/>
        <charset val="204"/>
      </rPr>
      <t>Вогнесміх</t>
    </r>
  </si>
  <si>
    <t>Гончар</t>
  </si>
  <si>
    <r>
      <rPr>
        <sz val="11.5"/>
        <rFont val="Times New Roman"/>
        <family val="1"/>
        <charset val="204"/>
      </rPr>
      <t>Собор</t>
    </r>
  </si>
  <si>
    <r>
      <rPr>
        <sz val="11.5"/>
        <rFont val="Times New Roman"/>
        <family val="1"/>
        <charset val="204"/>
      </rPr>
      <t>Бедрик</t>
    </r>
  </si>
  <si>
    <r>
      <rPr>
        <sz val="11.5"/>
        <rFont val="Times New Roman"/>
        <family val="1"/>
        <charset val="204"/>
      </rPr>
      <t>Юрій</t>
    </r>
  </si>
  <si>
    <r>
      <rPr>
        <sz val="11.5"/>
        <rFont val="Times New Roman"/>
        <family val="1"/>
        <charset val="204"/>
      </rPr>
      <t xml:space="preserve">Свято </t>
    </r>
    <r>
      <rPr>
        <sz val="11.5"/>
        <rFont val="Times New Roman"/>
        <family val="1"/>
        <charset val="204"/>
      </rPr>
      <t>небупя</t>
    </r>
  </si>
  <si>
    <r>
      <rPr>
        <sz val="11.5"/>
        <rFont val="Times New Roman"/>
        <family val="1"/>
        <charset val="204"/>
      </rPr>
      <t>Андрухович</t>
    </r>
  </si>
  <si>
    <r>
      <rPr>
        <sz val="11.5"/>
        <rFont val="Times New Roman"/>
        <family val="1"/>
        <charset val="204"/>
      </rPr>
      <t>Середмістя</t>
    </r>
  </si>
  <si>
    <r>
      <rPr>
        <sz val="11.5"/>
        <rFont val="Times New Roman"/>
        <family val="1"/>
        <charset val="204"/>
      </rPr>
      <t>Дванадцятьобручів</t>
    </r>
  </si>
  <si>
    <r>
      <rPr>
        <sz val="11.5"/>
        <rFont val="Times New Roman"/>
        <family val="1"/>
        <charset val="204"/>
      </rPr>
      <t>Щербак</t>
    </r>
  </si>
  <si>
    <r>
      <rPr>
        <sz val="11.5"/>
        <rFont val="Times New Roman"/>
        <family val="1"/>
        <charset val="204"/>
      </rPr>
      <t>Чорнобиль</t>
    </r>
  </si>
  <si>
    <t>Хорунжий</t>
  </si>
  <si>
    <r>
      <rPr>
        <sz val="11.5"/>
        <rFont val="Times New Roman"/>
        <family val="1"/>
        <charset val="204"/>
      </rPr>
      <t>Вірую</t>
    </r>
  </si>
  <si>
    <t>Таємна грамота</t>
  </si>
  <si>
    <t>Маса, 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</si>
</sst>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theme="9" tint="-0.499984740745262"/>
      <name val="Arial"/>
      <family val="2"/>
      <charset val="204"/>
    </font>
    <font>
      <b/>
      <sz val="16"/>
      <color rgb="FF000000"/>
      <name val="Calibri"/>
      <family val="2"/>
      <charset val="204"/>
    </font>
    <font>
      <sz val="11.5"/>
      <name val="Times New Roman"/>
      <family val="1"/>
      <charset val="204"/>
    </font>
    <font>
      <sz val="11.5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2" fontId="0" fillId="0" borderId="0" xfId="0" applyNumberFormat="1"/>
    <xf numFmtId="0" fontId="0" fillId="0" borderId="1" xfId="0" applyBorder="1"/>
    <xf numFmtId="2" fontId="0" fillId="0" borderId="1" xfId="0" applyNumberFormat="1" applyBorder="1"/>
    <xf numFmtId="0" fontId="1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2" fontId="5" fillId="3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1" fontId="5" fillId="0" borderId="1" xfId="0" applyNumberFormat="1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2" fillId="0" borderId="0" xfId="0" applyFont="1" applyFill="1" applyAlignment="1">
      <alignment horizontal="center" wrapText="1"/>
    </xf>
    <xf numFmtId="0" fontId="2" fillId="0" borderId="0" xfId="0" applyFont="1" applyFill="1" applyAlignment="1">
      <alignment horizontal="center"/>
    </xf>
    <xf numFmtId="0" fontId="3" fillId="0" borderId="2" xfId="0" applyFont="1" applyBorder="1" applyAlignment="1">
      <alignment horizontal="center" vertical="center" wrapText="1"/>
    </xf>
  </cellXfs>
  <cellStyles count="1">
    <cellStyle name="Звичайний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фіс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25"/>
  <sheetViews>
    <sheetView tabSelected="1" workbookViewId="0">
      <selection activeCell="K9" sqref="K9"/>
    </sheetView>
  </sheetViews>
  <sheetFormatPr defaultRowHeight="14.5" x14ac:dyDescent="0.35"/>
  <cols>
    <col min="2" max="2" width="13.08984375" customWidth="1"/>
    <col min="3" max="3" width="10.81640625" bestFit="1" customWidth="1"/>
    <col min="4" max="4" width="17.6328125" customWidth="1"/>
    <col min="5" max="5" width="19.453125" customWidth="1"/>
    <col min="6" max="6" width="9.7265625" customWidth="1"/>
    <col min="7" max="7" width="10.08984375" customWidth="1"/>
    <col min="9" max="9" width="10.7265625" bestFit="1" customWidth="1"/>
  </cols>
  <sheetData>
    <row r="2" spans="2:14" ht="32.5" customHeight="1" x14ac:dyDescent="0.4">
      <c r="B2" s="12" t="s">
        <v>14</v>
      </c>
      <c r="C2" s="13"/>
      <c r="D2" s="13"/>
      <c r="E2" s="13"/>
      <c r="F2" s="13"/>
      <c r="G2" s="13"/>
    </row>
    <row r="4" spans="2:14" ht="15.5" x14ac:dyDescent="0.35">
      <c r="B4" s="4" t="s">
        <v>0</v>
      </c>
      <c r="C4" s="4" t="s">
        <v>1</v>
      </c>
      <c r="D4" s="4" t="s">
        <v>2</v>
      </c>
      <c r="E4" s="4" t="s">
        <v>3</v>
      </c>
      <c r="F4" s="4" t="s">
        <v>55</v>
      </c>
      <c r="G4" s="4" t="s">
        <v>122</v>
      </c>
    </row>
    <row r="5" spans="2:14" x14ac:dyDescent="0.35">
      <c r="B5" s="2" t="s">
        <v>30</v>
      </c>
      <c r="C5" s="2" t="s">
        <v>31</v>
      </c>
      <c r="D5" s="2">
        <v>2005</v>
      </c>
      <c r="E5" s="2" t="s">
        <v>54</v>
      </c>
      <c r="F5" s="3">
        <v>1.68</v>
      </c>
      <c r="G5" s="3">
        <v>72</v>
      </c>
      <c r="M5" s="1"/>
      <c r="N5" s="1"/>
    </row>
    <row r="6" spans="2:14" x14ac:dyDescent="0.35">
      <c r="B6" s="2" t="s">
        <v>25</v>
      </c>
      <c r="C6" s="2" t="s">
        <v>52</v>
      </c>
      <c r="D6" s="2">
        <v>2008</v>
      </c>
      <c r="E6" s="2" t="s">
        <v>4</v>
      </c>
      <c r="F6" s="3">
        <v>1.56</v>
      </c>
      <c r="G6" s="3">
        <v>65</v>
      </c>
      <c r="M6" s="1"/>
      <c r="N6" s="1"/>
    </row>
    <row r="7" spans="2:14" x14ac:dyDescent="0.35">
      <c r="B7" s="2" t="s">
        <v>36</v>
      </c>
      <c r="C7" s="2" t="s">
        <v>50</v>
      </c>
      <c r="D7" s="2">
        <v>2004</v>
      </c>
      <c r="E7" s="2" t="s">
        <v>8</v>
      </c>
      <c r="F7" s="3">
        <v>1.85</v>
      </c>
      <c r="G7" s="3">
        <v>77</v>
      </c>
      <c r="M7" s="1"/>
      <c r="N7" s="1"/>
    </row>
    <row r="8" spans="2:14" x14ac:dyDescent="0.35">
      <c r="B8" s="2" t="s">
        <v>32</v>
      </c>
      <c r="C8" s="2" t="s">
        <v>33</v>
      </c>
      <c r="D8" s="2">
        <v>2006</v>
      </c>
      <c r="E8" s="2" t="s">
        <v>5</v>
      </c>
      <c r="F8" s="3">
        <v>1.65</v>
      </c>
      <c r="G8" s="3">
        <v>69.5</v>
      </c>
      <c r="M8" s="1"/>
      <c r="N8" s="1"/>
    </row>
    <row r="9" spans="2:14" x14ac:dyDescent="0.35">
      <c r="B9" s="2" t="s">
        <v>17</v>
      </c>
      <c r="C9" s="2" t="s">
        <v>43</v>
      </c>
      <c r="D9" s="2">
        <v>2006</v>
      </c>
      <c r="E9" s="2" t="s">
        <v>13</v>
      </c>
      <c r="F9" s="3">
        <v>1.65</v>
      </c>
      <c r="G9" s="3">
        <v>72</v>
      </c>
      <c r="M9" s="1"/>
      <c r="N9" s="1"/>
    </row>
    <row r="10" spans="2:14" x14ac:dyDescent="0.35">
      <c r="B10" s="2" t="s">
        <v>27</v>
      </c>
      <c r="C10" s="2" t="s">
        <v>47</v>
      </c>
      <c r="D10" s="2">
        <v>2007</v>
      </c>
      <c r="E10" s="2" t="s">
        <v>6</v>
      </c>
      <c r="F10" s="3">
        <v>1.65</v>
      </c>
      <c r="G10" s="3">
        <v>71</v>
      </c>
      <c r="M10" s="1"/>
      <c r="N10" s="1"/>
    </row>
    <row r="11" spans="2:14" x14ac:dyDescent="0.35">
      <c r="B11" s="2" t="s">
        <v>42</v>
      </c>
      <c r="C11" s="2" t="s">
        <v>47</v>
      </c>
      <c r="D11" s="2">
        <v>2008</v>
      </c>
      <c r="E11" s="2" t="s">
        <v>7</v>
      </c>
      <c r="F11" s="3">
        <v>1.65</v>
      </c>
      <c r="G11" s="3">
        <v>66.2</v>
      </c>
      <c r="M11" s="1"/>
      <c r="N11" s="1"/>
    </row>
    <row r="12" spans="2:14" x14ac:dyDescent="0.35">
      <c r="B12" s="2" t="s">
        <v>19</v>
      </c>
      <c r="C12" s="2" t="s">
        <v>20</v>
      </c>
      <c r="D12" s="2">
        <v>2008</v>
      </c>
      <c r="E12" s="2" t="s">
        <v>9</v>
      </c>
      <c r="F12" s="3">
        <v>1.6</v>
      </c>
      <c r="G12" s="3">
        <v>69</v>
      </c>
      <c r="M12" s="1"/>
      <c r="N12" s="1"/>
    </row>
    <row r="13" spans="2:14" x14ac:dyDescent="0.35">
      <c r="B13" s="2" t="s">
        <v>45</v>
      </c>
      <c r="C13" s="2" t="s">
        <v>46</v>
      </c>
      <c r="D13" s="2">
        <v>2005</v>
      </c>
      <c r="E13" s="2" t="s">
        <v>8</v>
      </c>
      <c r="F13" s="3">
        <v>1.69</v>
      </c>
      <c r="G13" s="3">
        <v>77.3</v>
      </c>
      <c r="M13" s="1"/>
      <c r="N13" s="1"/>
    </row>
    <row r="14" spans="2:14" x14ac:dyDescent="0.35">
      <c r="B14" s="2" t="s">
        <v>35</v>
      </c>
      <c r="C14" s="2" t="s">
        <v>49</v>
      </c>
      <c r="D14" s="2">
        <v>2005</v>
      </c>
      <c r="E14" s="2" t="s">
        <v>9</v>
      </c>
      <c r="F14" s="3">
        <v>1.81</v>
      </c>
      <c r="G14" s="3">
        <v>80.5</v>
      </c>
      <c r="M14" s="1"/>
      <c r="N14" s="1"/>
    </row>
    <row r="15" spans="2:14" x14ac:dyDescent="0.35">
      <c r="B15" s="2" t="s">
        <v>39</v>
      </c>
      <c r="C15" s="2" t="s">
        <v>51</v>
      </c>
      <c r="D15" s="2">
        <v>2008</v>
      </c>
      <c r="E15" s="2" t="s">
        <v>9</v>
      </c>
      <c r="F15" s="3">
        <v>1.78</v>
      </c>
      <c r="G15" s="3">
        <v>76</v>
      </c>
      <c r="M15" s="1"/>
      <c r="N15" s="1"/>
    </row>
    <row r="16" spans="2:14" x14ac:dyDescent="0.35">
      <c r="B16" s="2" t="s">
        <v>28</v>
      </c>
      <c r="C16" s="2" t="s">
        <v>29</v>
      </c>
      <c r="D16" s="2">
        <v>2006</v>
      </c>
      <c r="E16" s="2" t="s">
        <v>13</v>
      </c>
      <c r="F16" s="3">
        <v>1.68</v>
      </c>
      <c r="G16" s="3">
        <v>72</v>
      </c>
      <c r="M16" s="1"/>
      <c r="N16" s="1"/>
    </row>
    <row r="17" spans="2:14" x14ac:dyDescent="0.35">
      <c r="B17" s="2" t="s">
        <v>21</v>
      </c>
      <c r="C17" s="2" t="s">
        <v>22</v>
      </c>
      <c r="D17" s="2">
        <v>2005</v>
      </c>
      <c r="E17" s="2" t="s">
        <v>54</v>
      </c>
      <c r="F17" s="3">
        <v>1.76</v>
      </c>
      <c r="G17" s="3">
        <v>79.5</v>
      </c>
      <c r="M17" s="1"/>
      <c r="N17" s="1"/>
    </row>
    <row r="18" spans="2:14" x14ac:dyDescent="0.35">
      <c r="B18" s="2" t="s">
        <v>18</v>
      </c>
      <c r="C18" s="2" t="s">
        <v>38</v>
      </c>
      <c r="D18" s="2">
        <v>2007</v>
      </c>
      <c r="E18" s="2" t="s">
        <v>10</v>
      </c>
      <c r="F18" s="3">
        <v>1.64</v>
      </c>
      <c r="G18" s="3">
        <v>70</v>
      </c>
      <c r="M18" s="1"/>
      <c r="N18" s="1"/>
    </row>
    <row r="19" spans="2:14" x14ac:dyDescent="0.35">
      <c r="B19" s="2" t="s">
        <v>26</v>
      </c>
      <c r="C19" s="2" t="s">
        <v>16</v>
      </c>
      <c r="D19" s="2">
        <v>2004</v>
      </c>
      <c r="E19" s="2" t="s">
        <v>54</v>
      </c>
      <c r="F19" s="3">
        <v>1.78</v>
      </c>
      <c r="G19" s="3">
        <v>71</v>
      </c>
      <c r="M19" s="1"/>
      <c r="N19" s="1"/>
    </row>
    <row r="20" spans="2:14" x14ac:dyDescent="0.35">
      <c r="B20" s="2" t="s">
        <v>37</v>
      </c>
      <c r="C20" s="2" t="s">
        <v>51</v>
      </c>
      <c r="D20" s="2">
        <v>2008</v>
      </c>
      <c r="E20" s="2" t="s">
        <v>11</v>
      </c>
      <c r="F20" s="3">
        <v>1.68</v>
      </c>
      <c r="G20" s="3">
        <v>72</v>
      </c>
      <c r="M20" s="1"/>
      <c r="N20" s="1"/>
    </row>
    <row r="21" spans="2:14" x14ac:dyDescent="0.35">
      <c r="B21" s="2" t="s">
        <v>40</v>
      </c>
      <c r="C21" s="2" t="s">
        <v>38</v>
      </c>
      <c r="D21" s="2">
        <v>2008</v>
      </c>
      <c r="E21" s="2" t="s">
        <v>9</v>
      </c>
      <c r="F21" s="3">
        <v>1.64</v>
      </c>
      <c r="G21" s="3">
        <v>73</v>
      </c>
      <c r="M21" s="1"/>
      <c r="N21" s="1"/>
    </row>
    <row r="22" spans="2:14" x14ac:dyDescent="0.35">
      <c r="B22" s="2" t="s">
        <v>53</v>
      </c>
      <c r="C22" s="2" t="s">
        <v>15</v>
      </c>
      <c r="D22" s="2">
        <v>2007</v>
      </c>
      <c r="E22" s="2" t="s">
        <v>12</v>
      </c>
      <c r="F22" s="3">
        <v>1.65</v>
      </c>
      <c r="G22" s="3">
        <v>69.5</v>
      </c>
      <c r="M22" s="1"/>
      <c r="N22" s="1"/>
    </row>
    <row r="23" spans="2:14" x14ac:dyDescent="0.35">
      <c r="B23" s="2" t="s">
        <v>41</v>
      </c>
      <c r="C23" s="2" t="s">
        <v>48</v>
      </c>
      <c r="D23" s="2">
        <v>2006</v>
      </c>
      <c r="E23" s="2" t="s">
        <v>9</v>
      </c>
      <c r="F23" s="3">
        <v>1.73</v>
      </c>
      <c r="G23" s="3">
        <v>77</v>
      </c>
      <c r="M23" s="1"/>
      <c r="N23" s="1"/>
    </row>
    <row r="24" spans="2:14" x14ac:dyDescent="0.35">
      <c r="B24" s="2" t="s">
        <v>24</v>
      </c>
      <c r="C24" s="2" t="s">
        <v>44</v>
      </c>
      <c r="D24" s="2">
        <v>2005</v>
      </c>
      <c r="E24" s="2" t="s">
        <v>54</v>
      </c>
      <c r="F24" s="3">
        <v>1.76</v>
      </c>
      <c r="G24" s="3">
        <v>76</v>
      </c>
      <c r="M24" s="1"/>
      <c r="N24" s="1"/>
    </row>
    <row r="25" spans="2:14" x14ac:dyDescent="0.35">
      <c r="B25" s="2" t="s">
        <v>23</v>
      </c>
      <c r="C25" s="2" t="s">
        <v>34</v>
      </c>
      <c r="D25" s="2">
        <v>2008</v>
      </c>
      <c r="E25" s="2" t="s">
        <v>8</v>
      </c>
      <c r="F25" s="3">
        <v>1.62</v>
      </c>
      <c r="G25" s="3">
        <v>71.3</v>
      </c>
      <c r="M25" s="1"/>
      <c r="N25" s="1"/>
    </row>
  </sheetData>
  <sortState xmlns:xlrd2="http://schemas.microsoft.com/office/spreadsheetml/2017/richdata2" ref="I5:J25">
    <sortCondition ref="I5:I25"/>
    <sortCondition ref="J5:J25"/>
  </sortState>
  <mergeCells count="1">
    <mergeCell ref="B2:G2"/>
  </mergeCells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F57EA-C4E9-4969-99EE-327A7A283789}">
  <dimension ref="B2:K25"/>
  <sheetViews>
    <sheetView workbookViewId="0">
      <selection activeCell="J8" sqref="J8"/>
    </sheetView>
  </sheetViews>
  <sheetFormatPr defaultRowHeight="14.5" x14ac:dyDescent="0.35"/>
  <cols>
    <col min="2" max="2" width="13.08984375" customWidth="1"/>
    <col min="3" max="3" width="12.81640625" customWidth="1"/>
    <col min="4" max="4" width="15.453125" customWidth="1"/>
    <col min="5" max="5" width="19.453125" customWidth="1"/>
    <col min="6" max="6" width="10" customWidth="1"/>
    <col min="7" max="7" width="10.6328125" customWidth="1"/>
  </cols>
  <sheetData>
    <row r="2" spans="2:11" ht="32.5" customHeight="1" x14ac:dyDescent="0.4">
      <c r="B2" s="12" t="s">
        <v>14</v>
      </c>
      <c r="C2" s="13"/>
      <c r="D2" s="13"/>
      <c r="E2" s="13"/>
      <c r="F2" s="13"/>
      <c r="G2" s="13"/>
    </row>
    <row r="4" spans="2:11" ht="31" x14ac:dyDescent="0.35">
      <c r="B4" s="4" t="s">
        <v>0</v>
      </c>
      <c r="C4" s="4" t="s">
        <v>1</v>
      </c>
      <c r="D4" s="4" t="s">
        <v>2</v>
      </c>
      <c r="E4" s="4" t="s">
        <v>3</v>
      </c>
      <c r="F4" s="4" t="s">
        <v>55</v>
      </c>
      <c r="G4" s="4" t="s">
        <v>122</v>
      </c>
    </row>
    <row r="5" spans="2:11" x14ac:dyDescent="0.35">
      <c r="B5" s="2" t="s">
        <v>30</v>
      </c>
      <c r="C5" s="2" t="s">
        <v>31</v>
      </c>
      <c r="D5" s="2">
        <v>2005</v>
      </c>
      <c r="E5" s="2" t="s">
        <v>54</v>
      </c>
      <c r="F5" s="3">
        <v>1.68</v>
      </c>
      <c r="G5" s="3">
        <v>72</v>
      </c>
      <c r="J5" s="1"/>
      <c r="K5" s="1"/>
    </row>
    <row r="6" spans="2:11" x14ac:dyDescent="0.35">
      <c r="B6" s="2" t="s">
        <v>25</v>
      </c>
      <c r="C6" s="2" t="s">
        <v>52</v>
      </c>
      <c r="D6" s="2">
        <v>2008</v>
      </c>
      <c r="E6" s="2" t="s">
        <v>4</v>
      </c>
      <c r="F6" s="3">
        <v>1.56</v>
      </c>
      <c r="G6" s="3">
        <v>65</v>
      </c>
      <c r="J6" s="1"/>
      <c r="K6" s="1"/>
    </row>
    <row r="7" spans="2:11" x14ac:dyDescent="0.35">
      <c r="B7" s="2" t="s">
        <v>36</v>
      </c>
      <c r="C7" s="2" t="s">
        <v>50</v>
      </c>
      <c r="D7" s="2">
        <v>2004</v>
      </c>
      <c r="E7" s="2" t="s">
        <v>8</v>
      </c>
      <c r="F7" s="3">
        <v>1.85</v>
      </c>
      <c r="G7" s="3">
        <v>77</v>
      </c>
      <c r="J7" s="1"/>
      <c r="K7" s="1"/>
    </row>
    <row r="8" spans="2:11" x14ac:dyDescent="0.35">
      <c r="B8" s="2" t="s">
        <v>32</v>
      </c>
      <c r="C8" s="2" t="s">
        <v>33</v>
      </c>
      <c r="D8" s="2">
        <v>2006</v>
      </c>
      <c r="E8" s="2" t="s">
        <v>5</v>
      </c>
      <c r="F8" s="3">
        <v>1.65</v>
      </c>
      <c r="G8" s="3">
        <v>69.5</v>
      </c>
      <c r="J8" s="1"/>
      <c r="K8" s="1"/>
    </row>
    <row r="9" spans="2:11" x14ac:dyDescent="0.35">
      <c r="B9" s="2" t="s">
        <v>17</v>
      </c>
      <c r="C9" s="2" t="s">
        <v>43</v>
      </c>
      <c r="D9" s="2">
        <v>2006</v>
      </c>
      <c r="E9" s="2" t="s">
        <v>13</v>
      </c>
      <c r="F9" s="3">
        <v>1.65</v>
      </c>
      <c r="G9" s="3">
        <v>72</v>
      </c>
      <c r="J9" s="1"/>
      <c r="K9" s="1"/>
    </row>
    <row r="10" spans="2:11" x14ac:dyDescent="0.35">
      <c r="B10" s="2" t="s">
        <v>27</v>
      </c>
      <c r="C10" s="2" t="s">
        <v>47</v>
      </c>
      <c r="D10" s="2">
        <v>2007</v>
      </c>
      <c r="E10" s="2" t="s">
        <v>6</v>
      </c>
      <c r="F10" s="3">
        <v>1.65</v>
      </c>
      <c r="G10" s="3">
        <v>71</v>
      </c>
      <c r="J10" s="1"/>
      <c r="K10" s="1"/>
    </row>
    <row r="11" spans="2:11" x14ac:dyDescent="0.35">
      <c r="B11" s="2" t="s">
        <v>42</v>
      </c>
      <c r="C11" s="2" t="s">
        <v>47</v>
      </c>
      <c r="D11" s="2">
        <v>2008</v>
      </c>
      <c r="E11" s="2" t="s">
        <v>7</v>
      </c>
      <c r="F11" s="3">
        <v>1.65</v>
      </c>
      <c r="G11" s="3">
        <v>66.2</v>
      </c>
      <c r="J11" s="1"/>
      <c r="K11" s="1"/>
    </row>
    <row r="12" spans="2:11" x14ac:dyDescent="0.35">
      <c r="B12" s="2" t="s">
        <v>19</v>
      </c>
      <c r="C12" s="2" t="s">
        <v>20</v>
      </c>
      <c r="D12" s="2">
        <v>2008</v>
      </c>
      <c r="E12" s="2" t="s">
        <v>9</v>
      </c>
      <c r="F12" s="3">
        <v>1.6</v>
      </c>
      <c r="G12" s="3">
        <v>69</v>
      </c>
      <c r="J12" s="1"/>
      <c r="K12" s="1"/>
    </row>
    <row r="13" spans="2:11" x14ac:dyDescent="0.35">
      <c r="B13" s="2" t="s">
        <v>45</v>
      </c>
      <c r="C13" s="2" t="s">
        <v>46</v>
      </c>
      <c r="D13" s="2">
        <v>2005</v>
      </c>
      <c r="E13" s="2" t="s">
        <v>8</v>
      </c>
      <c r="F13" s="3">
        <v>1.69</v>
      </c>
      <c r="G13" s="3">
        <v>77.3</v>
      </c>
      <c r="J13" s="1"/>
      <c r="K13" s="1"/>
    </row>
    <row r="14" spans="2:11" x14ac:dyDescent="0.35">
      <c r="B14" s="2" t="s">
        <v>35</v>
      </c>
      <c r="C14" s="2" t="s">
        <v>49</v>
      </c>
      <c r="D14" s="2">
        <v>2005</v>
      </c>
      <c r="E14" s="2" t="s">
        <v>9</v>
      </c>
      <c r="F14" s="3">
        <v>1.81</v>
      </c>
      <c r="G14" s="3">
        <v>80.5</v>
      </c>
      <c r="J14" s="1"/>
      <c r="K14" s="1"/>
    </row>
    <row r="15" spans="2:11" x14ac:dyDescent="0.35">
      <c r="B15" s="2" t="s">
        <v>39</v>
      </c>
      <c r="C15" s="2" t="s">
        <v>51</v>
      </c>
      <c r="D15" s="2">
        <v>2008</v>
      </c>
      <c r="E15" s="2" t="s">
        <v>9</v>
      </c>
      <c r="F15" s="3">
        <v>1.78</v>
      </c>
      <c r="G15" s="3">
        <v>76</v>
      </c>
      <c r="J15" s="1"/>
      <c r="K15" s="1"/>
    </row>
    <row r="16" spans="2:11" x14ac:dyDescent="0.35">
      <c r="B16" s="2" t="s">
        <v>28</v>
      </c>
      <c r="C16" s="2" t="s">
        <v>29</v>
      </c>
      <c r="D16" s="2">
        <v>2006</v>
      </c>
      <c r="E16" s="2" t="s">
        <v>13</v>
      </c>
      <c r="F16" s="3">
        <v>1.68</v>
      </c>
      <c r="G16" s="3">
        <v>72</v>
      </c>
      <c r="J16" s="1"/>
      <c r="K16" s="1"/>
    </row>
    <row r="17" spans="2:11" x14ac:dyDescent="0.35">
      <c r="B17" s="2" t="s">
        <v>21</v>
      </c>
      <c r="C17" s="2" t="s">
        <v>22</v>
      </c>
      <c r="D17" s="2">
        <v>2005</v>
      </c>
      <c r="E17" s="2" t="s">
        <v>54</v>
      </c>
      <c r="F17" s="3">
        <v>1.76</v>
      </c>
      <c r="G17" s="3">
        <v>79.5</v>
      </c>
      <c r="J17" s="1"/>
      <c r="K17" s="1"/>
    </row>
    <row r="18" spans="2:11" x14ac:dyDescent="0.35">
      <c r="B18" s="2" t="s">
        <v>18</v>
      </c>
      <c r="C18" s="2" t="s">
        <v>38</v>
      </c>
      <c r="D18" s="2">
        <v>2007</v>
      </c>
      <c r="E18" s="2" t="s">
        <v>10</v>
      </c>
      <c r="F18" s="3">
        <v>1.64</v>
      </c>
      <c r="G18" s="3">
        <v>70</v>
      </c>
      <c r="J18" s="1"/>
      <c r="K18" s="1"/>
    </row>
    <row r="19" spans="2:11" x14ac:dyDescent="0.35">
      <c r="B19" s="2" t="s">
        <v>26</v>
      </c>
      <c r="C19" s="2" t="s">
        <v>16</v>
      </c>
      <c r="D19" s="2">
        <v>2004</v>
      </c>
      <c r="E19" s="2" t="s">
        <v>54</v>
      </c>
      <c r="F19" s="3">
        <v>1.78</v>
      </c>
      <c r="G19" s="3">
        <v>71</v>
      </c>
      <c r="J19" s="1"/>
      <c r="K19" s="1"/>
    </row>
    <row r="20" spans="2:11" x14ac:dyDescent="0.35">
      <c r="B20" s="2" t="s">
        <v>37</v>
      </c>
      <c r="C20" s="2" t="s">
        <v>51</v>
      </c>
      <c r="D20" s="2">
        <v>2008</v>
      </c>
      <c r="E20" s="2" t="s">
        <v>11</v>
      </c>
      <c r="F20" s="3">
        <v>1.68</v>
      </c>
      <c r="G20" s="3">
        <v>72</v>
      </c>
      <c r="J20" s="1"/>
      <c r="K20" s="1"/>
    </row>
    <row r="21" spans="2:11" x14ac:dyDescent="0.35">
      <c r="B21" s="2" t="s">
        <v>40</v>
      </c>
      <c r="C21" s="2" t="s">
        <v>38</v>
      </c>
      <c r="D21" s="2">
        <v>2008</v>
      </c>
      <c r="E21" s="2" t="s">
        <v>9</v>
      </c>
      <c r="F21" s="3">
        <v>1.64</v>
      </c>
      <c r="G21" s="3">
        <v>73</v>
      </c>
      <c r="J21" s="1"/>
      <c r="K21" s="1"/>
    </row>
    <row r="22" spans="2:11" x14ac:dyDescent="0.35">
      <c r="B22" s="2" t="s">
        <v>53</v>
      </c>
      <c r="C22" s="2" t="s">
        <v>15</v>
      </c>
      <c r="D22" s="2">
        <v>2007</v>
      </c>
      <c r="E22" s="2" t="s">
        <v>12</v>
      </c>
      <c r="F22" s="3">
        <v>1.65</v>
      </c>
      <c r="G22" s="3">
        <v>69.5</v>
      </c>
      <c r="J22" s="1"/>
      <c r="K22" s="1"/>
    </row>
    <row r="23" spans="2:11" x14ac:dyDescent="0.35">
      <c r="B23" s="2" t="s">
        <v>41</v>
      </c>
      <c r="C23" s="2" t="s">
        <v>48</v>
      </c>
      <c r="D23" s="2">
        <v>2006</v>
      </c>
      <c r="E23" s="2" t="s">
        <v>9</v>
      </c>
      <c r="F23" s="3">
        <v>1.73</v>
      </c>
      <c r="G23" s="3">
        <v>77</v>
      </c>
      <c r="J23" s="1"/>
      <c r="K23" s="1"/>
    </row>
    <row r="24" spans="2:11" x14ac:dyDescent="0.35">
      <c r="B24" s="2" t="s">
        <v>24</v>
      </c>
      <c r="C24" s="2" t="s">
        <v>44</v>
      </c>
      <c r="D24" s="2">
        <v>2005</v>
      </c>
      <c r="E24" s="2" t="s">
        <v>54</v>
      </c>
      <c r="F24" s="3">
        <v>1.76</v>
      </c>
      <c r="G24" s="3">
        <v>76</v>
      </c>
      <c r="J24" s="1"/>
      <c r="K24" s="1"/>
    </row>
    <row r="25" spans="2:11" x14ac:dyDescent="0.35">
      <c r="B25" s="2" t="s">
        <v>23</v>
      </c>
      <c r="C25" s="2" t="s">
        <v>34</v>
      </c>
      <c r="D25" s="2">
        <v>2008</v>
      </c>
      <c r="E25" s="2" t="s">
        <v>8</v>
      </c>
      <c r="F25" s="3">
        <v>1.62</v>
      </c>
      <c r="G25" s="3">
        <v>71.3</v>
      </c>
      <c r="J25" s="1"/>
      <c r="K25" s="1"/>
    </row>
  </sheetData>
  <mergeCells count="1">
    <mergeCell ref="B2:G2"/>
  </mergeCells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83302-995E-4060-A3DB-9A8D393E8792}">
  <dimension ref="B2:M25"/>
  <sheetViews>
    <sheetView workbookViewId="0">
      <selection activeCell="J7" sqref="J7"/>
    </sheetView>
  </sheetViews>
  <sheetFormatPr defaultRowHeight="14.5" x14ac:dyDescent="0.35"/>
  <cols>
    <col min="2" max="2" width="13.08984375" customWidth="1"/>
    <col min="3" max="3" width="10.81640625" bestFit="1" customWidth="1"/>
    <col min="4" max="4" width="13.7265625" customWidth="1"/>
    <col min="5" max="5" width="16.26953125" customWidth="1"/>
    <col min="6" max="6" width="9.7265625" customWidth="1"/>
    <col min="7" max="7" width="10.08984375" customWidth="1"/>
    <col min="8" max="8" width="10.7265625" bestFit="1" customWidth="1"/>
  </cols>
  <sheetData>
    <row r="2" spans="2:13" ht="32.5" customHeight="1" x14ac:dyDescent="0.4">
      <c r="B2" s="12" t="s">
        <v>14</v>
      </c>
      <c r="C2" s="13"/>
      <c r="D2" s="13"/>
      <c r="E2" s="13"/>
      <c r="F2" s="13"/>
      <c r="G2" s="13"/>
    </row>
    <row r="4" spans="2:13" ht="31" x14ac:dyDescent="0.35">
      <c r="B4" s="4" t="s">
        <v>0</v>
      </c>
      <c r="C4" s="4" t="s">
        <v>1</v>
      </c>
      <c r="D4" s="4" t="s">
        <v>2</v>
      </c>
      <c r="E4" s="4" t="s">
        <v>3</v>
      </c>
      <c r="F4" s="4" t="s">
        <v>55</v>
      </c>
      <c r="G4" s="4" t="s">
        <v>122</v>
      </c>
    </row>
    <row r="5" spans="2:13" x14ac:dyDescent="0.35">
      <c r="B5" s="2" t="s">
        <v>30</v>
      </c>
      <c r="C5" s="2" t="s">
        <v>31</v>
      </c>
      <c r="D5" s="2">
        <v>2005</v>
      </c>
      <c r="E5" s="2" t="s">
        <v>54</v>
      </c>
      <c r="F5" s="3">
        <v>1.68</v>
      </c>
      <c r="G5" s="3">
        <v>72</v>
      </c>
      <c r="L5" s="1"/>
      <c r="M5" s="1"/>
    </row>
    <row r="6" spans="2:13" x14ac:dyDescent="0.35">
      <c r="B6" s="2" t="s">
        <v>25</v>
      </c>
      <c r="C6" s="2" t="s">
        <v>52</v>
      </c>
      <c r="D6" s="2">
        <v>2008</v>
      </c>
      <c r="E6" s="2" t="s">
        <v>4</v>
      </c>
      <c r="F6" s="3">
        <v>1.56</v>
      </c>
      <c r="G6" s="3">
        <v>65</v>
      </c>
      <c r="L6" s="1"/>
      <c r="M6" s="1"/>
    </row>
    <row r="7" spans="2:13" x14ac:dyDescent="0.35">
      <c r="B7" s="2" t="s">
        <v>36</v>
      </c>
      <c r="C7" s="2" t="s">
        <v>50</v>
      </c>
      <c r="D7" s="2">
        <v>2004</v>
      </c>
      <c r="E7" s="2" t="s">
        <v>8</v>
      </c>
      <c r="F7" s="3">
        <v>1.85</v>
      </c>
      <c r="G7" s="3">
        <v>77</v>
      </c>
      <c r="L7" s="1"/>
      <c r="M7" s="1"/>
    </row>
    <row r="8" spans="2:13" x14ac:dyDescent="0.35">
      <c r="B8" s="2" t="s">
        <v>32</v>
      </c>
      <c r="C8" s="2" t="s">
        <v>33</v>
      </c>
      <c r="D8" s="2">
        <v>2006</v>
      </c>
      <c r="E8" s="2" t="s">
        <v>5</v>
      </c>
      <c r="F8" s="3">
        <v>1.65</v>
      </c>
      <c r="G8" s="3">
        <v>69.5</v>
      </c>
      <c r="L8" s="1"/>
      <c r="M8" s="1"/>
    </row>
    <row r="9" spans="2:13" x14ac:dyDescent="0.35">
      <c r="B9" s="2" t="s">
        <v>17</v>
      </c>
      <c r="C9" s="2" t="s">
        <v>43</v>
      </c>
      <c r="D9" s="2">
        <v>2006</v>
      </c>
      <c r="E9" s="2" t="s">
        <v>13</v>
      </c>
      <c r="F9" s="3">
        <v>1.65</v>
      </c>
      <c r="G9" s="3">
        <v>72</v>
      </c>
      <c r="L9" s="1"/>
      <c r="M9" s="1"/>
    </row>
    <row r="10" spans="2:13" x14ac:dyDescent="0.35">
      <c r="B10" s="2" t="s">
        <v>27</v>
      </c>
      <c r="C10" s="2" t="s">
        <v>47</v>
      </c>
      <c r="D10" s="2">
        <v>2007</v>
      </c>
      <c r="E10" s="2" t="s">
        <v>6</v>
      </c>
      <c r="F10" s="3">
        <v>1.65</v>
      </c>
      <c r="G10" s="3">
        <v>71</v>
      </c>
      <c r="L10" s="1"/>
      <c r="M10" s="1"/>
    </row>
    <row r="11" spans="2:13" x14ac:dyDescent="0.35">
      <c r="B11" s="2" t="s">
        <v>42</v>
      </c>
      <c r="C11" s="2" t="s">
        <v>47</v>
      </c>
      <c r="D11" s="2">
        <v>2008</v>
      </c>
      <c r="E11" s="2" t="s">
        <v>7</v>
      </c>
      <c r="F11" s="3">
        <v>1.65</v>
      </c>
      <c r="G11" s="3">
        <v>66.2</v>
      </c>
      <c r="L11" s="1"/>
      <c r="M11" s="1"/>
    </row>
    <row r="12" spans="2:13" x14ac:dyDescent="0.35">
      <c r="B12" s="2" t="s">
        <v>19</v>
      </c>
      <c r="C12" s="2" t="s">
        <v>20</v>
      </c>
      <c r="D12" s="2">
        <v>2008</v>
      </c>
      <c r="E12" s="2" t="s">
        <v>9</v>
      </c>
      <c r="F12" s="3">
        <v>1.6</v>
      </c>
      <c r="G12" s="3">
        <v>69</v>
      </c>
      <c r="L12" s="1"/>
      <c r="M12" s="1"/>
    </row>
    <row r="13" spans="2:13" x14ac:dyDescent="0.35">
      <c r="B13" s="2" t="s">
        <v>45</v>
      </c>
      <c r="C13" s="2" t="s">
        <v>46</v>
      </c>
      <c r="D13" s="2">
        <v>2005</v>
      </c>
      <c r="E13" s="2" t="s">
        <v>8</v>
      </c>
      <c r="F13" s="3">
        <v>1.69</v>
      </c>
      <c r="G13" s="3">
        <v>77.3</v>
      </c>
      <c r="L13" s="1"/>
      <c r="M13" s="1"/>
    </row>
    <row r="14" spans="2:13" x14ac:dyDescent="0.35">
      <c r="B14" s="2" t="s">
        <v>35</v>
      </c>
      <c r="C14" s="2" t="s">
        <v>49</v>
      </c>
      <c r="D14" s="2">
        <v>2005</v>
      </c>
      <c r="E14" s="2" t="s">
        <v>9</v>
      </c>
      <c r="F14" s="3">
        <v>1.81</v>
      </c>
      <c r="G14" s="3">
        <v>80.5</v>
      </c>
      <c r="L14" s="1"/>
      <c r="M14" s="1"/>
    </row>
    <row r="15" spans="2:13" x14ac:dyDescent="0.35">
      <c r="B15" s="2" t="s">
        <v>39</v>
      </c>
      <c r="C15" s="2" t="s">
        <v>51</v>
      </c>
      <c r="D15" s="2">
        <v>2008</v>
      </c>
      <c r="E15" s="2" t="s">
        <v>9</v>
      </c>
      <c r="F15" s="3">
        <v>1.78</v>
      </c>
      <c r="G15" s="3">
        <v>76</v>
      </c>
      <c r="L15" s="1"/>
      <c r="M15" s="1"/>
    </row>
    <row r="16" spans="2:13" x14ac:dyDescent="0.35">
      <c r="B16" s="2" t="s">
        <v>28</v>
      </c>
      <c r="C16" s="2" t="s">
        <v>29</v>
      </c>
      <c r="D16" s="2">
        <v>2006</v>
      </c>
      <c r="E16" s="2" t="s">
        <v>13</v>
      </c>
      <c r="F16" s="3">
        <v>1.68</v>
      </c>
      <c r="G16" s="3">
        <v>72</v>
      </c>
      <c r="L16" s="1"/>
      <c r="M16" s="1"/>
    </row>
    <row r="17" spans="2:13" x14ac:dyDescent="0.35">
      <c r="B17" s="2" t="s">
        <v>21</v>
      </c>
      <c r="C17" s="2" t="s">
        <v>22</v>
      </c>
      <c r="D17" s="2">
        <v>2005</v>
      </c>
      <c r="E17" s="2" t="s">
        <v>54</v>
      </c>
      <c r="F17" s="3">
        <v>1.76</v>
      </c>
      <c r="G17" s="3">
        <v>79.5</v>
      </c>
      <c r="L17" s="1"/>
      <c r="M17" s="1"/>
    </row>
    <row r="18" spans="2:13" x14ac:dyDescent="0.35">
      <c r="B18" s="2" t="s">
        <v>18</v>
      </c>
      <c r="C18" s="2" t="s">
        <v>38</v>
      </c>
      <c r="D18" s="2">
        <v>2007</v>
      </c>
      <c r="E18" s="2" t="s">
        <v>10</v>
      </c>
      <c r="F18" s="3">
        <v>1.64</v>
      </c>
      <c r="G18" s="3">
        <v>70</v>
      </c>
      <c r="L18" s="1"/>
      <c r="M18" s="1"/>
    </row>
    <row r="19" spans="2:13" x14ac:dyDescent="0.35">
      <c r="B19" s="2" t="s">
        <v>26</v>
      </c>
      <c r="C19" s="2" t="s">
        <v>16</v>
      </c>
      <c r="D19" s="2">
        <v>2004</v>
      </c>
      <c r="E19" s="2" t="s">
        <v>54</v>
      </c>
      <c r="F19" s="3">
        <v>1.78</v>
      </c>
      <c r="G19" s="3">
        <v>71</v>
      </c>
      <c r="L19" s="1"/>
      <c r="M19" s="1"/>
    </row>
    <row r="20" spans="2:13" x14ac:dyDescent="0.35">
      <c r="B20" s="2" t="s">
        <v>37</v>
      </c>
      <c r="C20" s="2" t="s">
        <v>51</v>
      </c>
      <c r="D20" s="2">
        <v>2008</v>
      </c>
      <c r="E20" s="2" t="s">
        <v>11</v>
      </c>
      <c r="F20" s="3">
        <v>1.68</v>
      </c>
      <c r="G20" s="3">
        <v>72</v>
      </c>
      <c r="L20" s="1"/>
      <c r="M20" s="1"/>
    </row>
    <row r="21" spans="2:13" x14ac:dyDescent="0.35">
      <c r="B21" s="2" t="s">
        <v>40</v>
      </c>
      <c r="C21" s="2" t="s">
        <v>38</v>
      </c>
      <c r="D21" s="2">
        <v>2008</v>
      </c>
      <c r="E21" s="2" t="s">
        <v>9</v>
      </c>
      <c r="F21" s="3">
        <v>1.64</v>
      </c>
      <c r="G21" s="3">
        <v>73</v>
      </c>
      <c r="L21" s="1"/>
      <c r="M21" s="1"/>
    </row>
    <row r="22" spans="2:13" x14ac:dyDescent="0.35">
      <c r="B22" s="2" t="s">
        <v>53</v>
      </c>
      <c r="C22" s="2" t="s">
        <v>15</v>
      </c>
      <c r="D22" s="2">
        <v>2007</v>
      </c>
      <c r="E22" s="2" t="s">
        <v>12</v>
      </c>
      <c r="F22" s="3">
        <v>1.65</v>
      </c>
      <c r="G22" s="3">
        <v>69.5</v>
      </c>
      <c r="L22" s="1"/>
      <c r="M22" s="1"/>
    </row>
    <row r="23" spans="2:13" x14ac:dyDescent="0.35">
      <c r="B23" s="2" t="s">
        <v>41</v>
      </c>
      <c r="C23" s="2" t="s">
        <v>48</v>
      </c>
      <c r="D23" s="2">
        <v>2006</v>
      </c>
      <c r="E23" s="2" t="s">
        <v>9</v>
      </c>
      <c r="F23" s="3">
        <v>1.73</v>
      </c>
      <c r="G23" s="3">
        <v>77</v>
      </c>
      <c r="L23" s="1"/>
      <c r="M23" s="1"/>
    </row>
    <row r="24" spans="2:13" x14ac:dyDescent="0.35">
      <c r="B24" s="2" t="s">
        <v>24</v>
      </c>
      <c r="C24" s="2" t="s">
        <v>44</v>
      </c>
      <c r="D24" s="2">
        <v>2005</v>
      </c>
      <c r="E24" s="2" t="s">
        <v>54</v>
      </c>
      <c r="F24" s="3">
        <v>1.76</v>
      </c>
      <c r="G24" s="3">
        <v>76</v>
      </c>
      <c r="L24" s="1"/>
      <c r="M24" s="1"/>
    </row>
    <row r="25" spans="2:13" x14ac:dyDescent="0.35">
      <c r="B25" s="2" t="s">
        <v>23</v>
      </c>
      <c r="C25" s="2" t="s">
        <v>34</v>
      </c>
      <c r="D25" s="2">
        <v>2008</v>
      </c>
      <c r="E25" s="2" t="s">
        <v>8</v>
      </c>
      <c r="F25" s="3">
        <v>1.62</v>
      </c>
      <c r="G25" s="3">
        <v>71.3</v>
      </c>
      <c r="L25" s="1"/>
      <c r="M25" s="1"/>
    </row>
  </sheetData>
  <mergeCells count="1">
    <mergeCell ref="B2:G2"/>
  </mergeCells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E72ED-EC30-4E40-B7F9-57477BC18BED}">
  <dimension ref="A1:M27"/>
  <sheetViews>
    <sheetView topLeftCell="A13" workbookViewId="0">
      <selection activeCell="E15" sqref="E15"/>
    </sheetView>
  </sheetViews>
  <sheetFormatPr defaultRowHeight="14.5" x14ac:dyDescent="0.35"/>
  <cols>
    <col min="1" max="1" width="21.6328125" customWidth="1"/>
    <col min="2" max="2" width="13.08984375" customWidth="1"/>
    <col min="3" max="3" width="22.54296875" customWidth="1"/>
    <col min="4" max="4" width="8.54296875" customWidth="1"/>
    <col min="5" max="5" width="12" customWidth="1"/>
    <col min="6" max="6" width="9.7265625" customWidth="1"/>
    <col min="7" max="7" width="10.08984375" customWidth="1"/>
    <col min="8" max="8" width="10.7265625" bestFit="1" customWidth="1"/>
    <col min="9" max="9" width="11.453125" customWidth="1"/>
  </cols>
  <sheetData>
    <row r="1" spans="1:13" ht="38.5" customHeight="1" x14ac:dyDescent="0.35">
      <c r="A1" s="14" t="s">
        <v>56</v>
      </c>
      <c r="B1" s="14"/>
      <c r="C1" s="14"/>
      <c r="D1" s="14"/>
      <c r="E1" s="14"/>
      <c r="F1" s="14"/>
      <c r="G1" s="14"/>
      <c r="H1" s="14"/>
      <c r="I1" s="14"/>
      <c r="J1" s="14"/>
    </row>
    <row r="2" spans="1:13" ht="15" x14ac:dyDescent="0.35">
      <c r="A2" s="5" t="s">
        <v>0</v>
      </c>
      <c r="B2" s="6" t="s">
        <v>57</v>
      </c>
      <c r="C2" s="6" t="s">
        <v>58</v>
      </c>
      <c r="D2" s="6" t="s">
        <v>59</v>
      </c>
      <c r="E2" s="6" t="s">
        <v>60</v>
      </c>
      <c r="F2" s="5" t="s">
        <v>61</v>
      </c>
      <c r="G2" s="6" t="s">
        <v>62</v>
      </c>
      <c r="H2" s="7" t="s">
        <v>63</v>
      </c>
      <c r="I2" s="7" t="s">
        <v>64</v>
      </c>
      <c r="J2" s="6" t="s">
        <v>65</v>
      </c>
    </row>
    <row r="3" spans="1:13" ht="15" x14ac:dyDescent="0.35">
      <c r="A3" s="8" t="s">
        <v>66</v>
      </c>
      <c r="B3" s="8" t="s">
        <v>67</v>
      </c>
      <c r="C3" s="8" t="s">
        <v>68</v>
      </c>
      <c r="D3" s="8" t="s">
        <v>69</v>
      </c>
      <c r="E3" s="9">
        <v>30</v>
      </c>
      <c r="F3" s="8" t="s">
        <v>70</v>
      </c>
      <c r="G3" s="9">
        <v>25</v>
      </c>
      <c r="H3" s="10">
        <v>80</v>
      </c>
      <c r="I3" s="10">
        <f t="shared" ref="I3:I27" si="0">G3*H3</f>
        <v>2000</v>
      </c>
      <c r="J3" s="9">
        <f t="shared" ref="J3:J27" si="1">E3-G3</f>
        <v>5</v>
      </c>
    </row>
    <row r="4" spans="1:13" ht="15" x14ac:dyDescent="0.35">
      <c r="A4" s="8" t="s">
        <v>71</v>
      </c>
      <c r="B4" s="11" t="s">
        <v>72</v>
      </c>
      <c r="C4" s="11" t="s">
        <v>73</v>
      </c>
      <c r="D4" s="8" t="s">
        <v>69</v>
      </c>
      <c r="E4" s="9">
        <v>11</v>
      </c>
      <c r="F4" s="8" t="s">
        <v>70</v>
      </c>
      <c r="G4" s="9">
        <v>4</v>
      </c>
      <c r="H4" s="10">
        <v>68</v>
      </c>
      <c r="I4" s="10">
        <f t="shared" si="0"/>
        <v>272</v>
      </c>
      <c r="J4" s="9">
        <f t="shared" si="1"/>
        <v>7</v>
      </c>
    </row>
    <row r="5" spans="1:13" ht="15" x14ac:dyDescent="0.35">
      <c r="A5" s="8" t="s">
        <v>74</v>
      </c>
      <c r="B5" s="8" t="s">
        <v>75</v>
      </c>
      <c r="C5" s="8" t="s">
        <v>76</v>
      </c>
      <c r="D5" s="8" t="s">
        <v>69</v>
      </c>
      <c r="E5" s="9">
        <v>3</v>
      </c>
      <c r="F5" s="8" t="s">
        <v>70</v>
      </c>
      <c r="G5" s="9">
        <v>1</v>
      </c>
      <c r="H5" s="10">
        <v>60</v>
      </c>
      <c r="I5" s="10">
        <f t="shared" si="0"/>
        <v>60</v>
      </c>
      <c r="J5" s="9">
        <f t="shared" si="1"/>
        <v>2</v>
      </c>
      <c r="L5" s="1"/>
      <c r="M5" s="1"/>
    </row>
    <row r="6" spans="1:13" ht="15" x14ac:dyDescent="0.35">
      <c r="A6" s="11" t="s">
        <v>77</v>
      </c>
      <c r="B6" s="8" t="s">
        <v>75</v>
      </c>
      <c r="C6" s="11" t="s">
        <v>78</v>
      </c>
      <c r="D6" s="8" t="s">
        <v>69</v>
      </c>
      <c r="E6" s="9">
        <v>35</v>
      </c>
      <c r="F6" s="8" t="s">
        <v>79</v>
      </c>
      <c r="G6" s="9">
        <v>4</v>
      </c>
      <c r="H6" s="10">
        <v>84</v>
      </c>
      <c r="I6" s="10">
        <f t="shared" si="0"/>
        <v>336</v>
      </c>
      <c r="J6" s="9">
        <f t="shared" si="1"/>
        <v>31</v>
      </c>
      <c r="L6" s="1"/>
      <c r="M6" s="1"/>
    </row>
    <row r="7" spans="1:13" ht="15" x14ac:dyDescent="0.35">
      <c r="A7" s="11" t="s">
        <v>77</v>
      </c>
      <c r="B7" s="8" t="s">
        <v>75</v>
      </c>
      <c r="C7" s="8" t="s">
        <v>80</v>
      </c>
      <c r="D7" s="8" t="s">
        <v>69</v>
      </c>
      <c r="E7" s="9">
        <v>24</v>
      </c>
      <c r="F7" s="8" t="s">
        <v>81</v>
      </c>
      <c r="G7" s="9">
        <v>11</v>
      </c>
      <c r="H7" s="10">
        <v>100</v>
      </c>
      <c r="I7" s="10">
        <f t="shared" si="0"/>
        <v>1100</v>
      </c>
      <c r="J7" s="9">
        <f t="shared" si="1"/>
        <v>13</v>
      </c>
      <c r="L7" s="1"/>
      <c r="M7" s="1"/>
    </row>
    <row r="8" spans="1:13" ht="15" x14ac:dyDescent="0.35">
      <c r="A8" s="11" t="s">
        <v>77</v>
      </c>
      <c r="B8" s="8" t="s">
        <v>75</v>
      </c>
      <c r="C8" s="11" t="s">
        <v>82</v>
      </c>
      <c r="D8" s="8" t="s">
        <v>69</v>
      </c>
      <c r="E8" s="9">
        <v>27</v>
      </c>
      <c r="F8" s="8" t="s">
        <v>83</v>
      </c>
      <c r="G8" s="9">
        <v>17</v>
      </c>
      <c r="H8" s="10">
        <v>100</v>
      </c>
      <c r="I8" s="10">
        <f t="shared" si="0"/>
        <v>1700</v>
      </c>
      <c r="J8" s="9">
        <f t="shared" si="1"/>
        <v>10</v>
      </c>
      <c r="L8" s="1"/>
      <c r="M8" s="1"/>
    </row>
    <row r="9" spans="1:13" ht="15" x14ac:dyDescent="0.35">
      <c r="A9" s="8" t="s">
        <v>84</v>
      </c>
      <c r="B9" s="8" t="s">
        <v>85</v>
      </c>
      <c r="C9" s="11" t="s">
        <v>86</v>
      </c>
      <c r="D9" s="8" t="s">
        <v>69</v>
      </c>
      <c r="E9" s="9">
        <v>7</v>
      </c>
      <c r="F9" s="8" t="s">
        <v>70</v>
      </c>
      <c r="G9" s="9">
        <v>5</v>
      </c>
      <c r="H9" s="10">
        <v>104</v>
      </c>
      <c r="I9" s="10">
        <f t="shared" si="0"/>
        <v>520</v>
      </c>
      <c r="J9" s="9">
        <f t="shared" si="1"/>
        <v>2</v>
      </c>
      <c r="L9" s="1"/>
      <c r="M9" s="1"/>
    </row>
    <row r="10" spans="1:13" ht="15" x14ac:dyDescent="0.35">
      <c r="A10" s="8" t="s">
        <v>87</v>
      </c>
      <c r="B10" s="8" t="s">
        <v>85</v>
      </c>
      <c r="C10" s="8" t="s">
        <v>88</v>
      </c>
      <c r="D10" s="8" t="s">
        <v>69</v>
      </c>
      <c r="E10" s="9">
        <v>21</v>
      </c>
      <c r="F10" s="8" t="s">
        <v>70</v>
      </c>
      <c r="G10" s="9">
        <v>16</v>
      </c>
      <c r="H10" s="10">
        <v>120</v>
      </c>
      <c r="I10" s="10">
        <f t="shared" si="0"/>
        <v>1920</v>
      </c>
      <c r="J10" s="9">
        <f t="shared" si="1"/>
        <v>5</v>
      </c>
      <c r="L10" s="1"/>
      <c r="M10" s="1"/>
    </row>
    <row r="11" spans="1:13" ht="15" x14ac:dyDescent="0.35">
      <c r="A11" s="8" t="s">
        <v>87</v>
      </c>
      <c r="B11" s="8" t="s">
        <v>85</v>
      </c>
      <c r="C11" s="8" t="s">
        <v>89</v>
      </c>
      <c r="D11" s="8" t="s">
        <v>69</v>
      </c>
      <c r="E11" s="9">
        <v>15</v>
      </c>
      <c r="F11" s="8" t="s">
        <v>70</v>
      </c>
      <c r="G11" s="9">
        <v>12</v>
      </c>
      <c r="H11" s="10">
        <v>108</v>
      </c>
      <c r="I11" s="10">
        <f t="shared" si="0"/>
        <v>1296</v>
      </c>
      <c r="J11" s="9">
        <f t="shared" si="1"/>
        <v>3</v>
      </c>
      <c r="L11" s="1"/>
      <c r="M11" s="1"/>
    </row>
    <row r="12" spans="1:13" ht="15" x14ac:dyDescent="0.35">
      <c r="A12" s="11" t="s">
        <v>90</v>
      </c>
      <c r="B12" s="8" t="s">
        <v>91</v>
      </c>
      <c r="C12" s="8" t="s">
        <v>92</v>
      </c>
      <c r="D12" s="8" t="s">
        <v>93</v>
      </c>
      <c r="E12" s="9">
        <v>23</v>
      </c>
      <c r="F12" s="8" t="s">
        <v>81</v>
      </c>
      <c r="G12" s="9">
        <v>14</v>
      </c>
      <c r="H12" s="10">
        <v>96</v>
      </c>
      <c r="I12" s="10">
        <f t="shared" si="0"/>
        <v>1344</v>
      </c>
      <c r="J12" s="9">
        <f t="shared" si="1"/>
        <v>9</v>
      </c>
      <c r="L12" s="1"/>
      <c r="M12" s="1"/>
    </row>
    <row r="13" spans="1:13" ht="15" x14ac:dyDescent="0.35">
      <c r="A13" s="8" t="s">
        <v>94</v>
      </c>
      <c r="B13" s="8" t="s">
        <v>91</v>
      </c>
      <c r="C13" s="8" t="s">
        <v>95</v>
      </c>
      <c r="D13" s="8" t="s">
        <v>93</v>
      </c>
      <c r="E13" s="9">
        <v>14</v>
      </c>
      <c r="F13" s="8" t="s">
        <v>83</v>
      </c>
      <c r="G13" s="9">
        <v>5</v>
      </c>
      <c r="H13" s="10">
        <v>111.2</v>
      </c>
      <c r="I13" s="10">
        <f t="shared" si="0"/>
        <v>556</v>
      </c>
      <c r="J13" s="9">
        <f t="shared" si="1"/>
        <v>9</v>
      </c>
      <c r="L13" s="1"/>
      <c r="M13" s="1"/>
    </row>
    <row r="14" spans="1:13" ht="15" x14ac:dyDescent="0.35">
      <c r="A14" s="11" t="s">
        <v>96</v>
      </c>
      <c r="B14" s="8" t="s">
        <v>97</v>
      </c>
      <c r="C14" s="11" t="s">
        <v>98</v>
      </c>
      <c r="D14" s="8" t="s">
        <v>93</v>
      </c>
      <c r="E14" s="9">
        <v>15</v>
      </c>
      <c r="F14" s="8" t="s">
        <v>70</v>
      </c>
      <c r="G14" s="9">
        <v>12</v>
      </c>
      <c r="H14" s="10">
        <v>50</v>
      </c>
      <c r="I14" s="10">
        <f t="shared" si="0"/>
        <v>600</v>
      </c>
      <c r="J14" s="9">
        <f t="shared" si="1"/>
        <v>3</v>
      </c>
      <c r="L14" s="1"/>
      <c r="M14" s="1"/>
    </row>
    <row r="15" spans="1:13" ht="15" x14ac:dyDescent="0.35">
      <c r="A15" s="11" t="s">
        <v>96</v>
      </c>
      <c r="B15" s="8" t="s">
        <v>97</v>
      </c>
      <c r="C15" s="11" t="s">
        <v>99</v>
      </c>
      <c r="D15" s="8" t="s">
        <v>69</v>
      </c>
      <c r="E15" s="9">
        <v>12</v>
      </c>
      <c r="F15" s="8" t="s">
        <v>70</v>
      </c>
      <c r="G15" s="9">
        <v>10</v>
      </c>
      <c r="H15" s="10">
        <v>34.799999999999997</v>
      </c>
      <c r="I15" s="10">
        <f t="shared" si="0"/>
        <v>348</v>
      </c>
      <c r="J15" s="9">
        <f t="shared" si="1"/>
        <v>2</v>
      </c>
      <c r="L15" s="1"/>
      <c r="M15" s="1"/>
    </row>
    <row r="16" spans="1:13" ht="15" x14ac:dyDescent="0.35">
      <c r="A16" s="8" t="s">
        <v>100</v>
      </c>
      <c r="B16" s="8" t="s">
        <v>101</v>
      </c>
      <c r="C16" s="8" t="s">
        <v>102</v>
      </c>
      <c r="D16" s="8" t="s">
        <v>93</v>
      </c>
      <c r="E16" s="9">
        <v>10</v>
      </c>
      <c r="F16" s="8" t="s">
        <v>81</v>
      </c>
      <c r="G16" s="9">
        <v>8</v>
      </c>
      <c r="H16" s="10">
        <v>128</v>
      </c>
      <c r="I16" s="10">
        <f t="shared" si="0"/>
        <v>1024</v>
      </c>
      <c r="J16" s="9">
        <f t="shared" si="1"/>
        <v>2</v>
      </c>
      <c r="L16" s="1"/>
      <c r="M16" s="1"/>
    </row>
    <row r="17" spans="1:13" ht="15" x14ac:dyDescent="0.35">
      <c r="A17" s="8" t="s">
        <v>100</v>
      </c>
      <c r="B17" s="8" t="s">
        <v>101</v>
      </c>
      <c r="C17" s="8" t="s">
        <v>103</v>
      </c>
      <c r="D17" s="8" t="s">
        <v>93</v>
      </c>
      <c r="E17" s="9">
        <v>28</v>
      </c>
      <c r="F17" s="8" t="s">
        <v>83</v>
      </c>
      <c r="G17" s="9">
        <v>12</v>
      </c>
      <c r="H17" s="10">
        <v>140</v>
      </c>
      <c r="I17" s="10">
        <f t="shared" si="0"/>
        <v>1680</v>
      </c>
      <c r="J17" s="9">
        <f t="shared" si="1"/>
        <v>16</v>
      </c>
      <c r="L17" s="1"/>
      <c r="M17" s="1"/>
    </row>
    <row r="18" spans="1:13" ht="15" x14ac:dyDescent="0.35">
      <c r="A18" s="8" t="s">
        <v>100</v>
      </c>
      <c r="B18" s="8" t="s">
        <v>101</v>
      </c>
      <c r="C18" s="11" t="s">
        <v>104</v>
      </c>
      <c r="D18" s="8" t="s">
        <v>69</v>
      </c>
      <c r="E18" s="9">
        <v>25</v>
      </c>
      <c r="F18" s="8" t="s">
        <v>70</v>
      </c>
      <c r="G18" s="9">
        <v>20</v>
      </c>
      <c r="H18" s="10">
        <v>124</v>
      </c>
      <c r="I18" s="10">
        <f t="shared" si="0"/>
        <v>2480</v>
      </c>
      <c r="J18" s="9">
        <f t="shared" si="1"/>
        <v>5</v>
      </c>
      <c r="L18" s="1"/>
      <c r="M18" s="1"/>
    </row>
    <row r="19" spans="1:13" ht="15" x14ac:dyDescent="0.35">
      <c r="A19" s="8" t="s">
        <v>105</v>
      </c>
      <c r="B19" s="8" t="s">
        <v>106</v>
      </c>
      <c r="C19" s="8" t="s">
        <v>107</v>
      </c>
      <c r="D19" s="8" t="s">
        <v>93</v>
      </c>
      <c r="E19" s="9">
        <v>10</v>
      </c>
      <c r="F19" s="8" t="s">
        <v>81</v>
      </c>
      <c r="G19" s="9">
        <v>10</v>
      </c>
      <c r="H19" s="10">
        <v>86.8</v>
      </c>
      <c r="I19" s="10">
        <f t="shared" si="0"/>
        <v>868</v>
      </c>
      <c r="J19" s="9">
        <f t="shared" si="1"/>
        <v>0</v>
      </c>
      <c r="L19" s="1"/>
      <c r="M19" s="1"/>
    </row>
    <row r="20" spans="1:13" ht="15" x14ac:dyDescent="0.35">
      <c r="A20" s="8" t="s">
        <v>105</v>
      </c>
      <c r="B20" s="8" t="s">
        <v>106</v>
      </c>
      <c r="C20" s="8" t="s">
        <v>108</v>
      </c>
      <c r="D20" s="8" t="s">
        <v>93</v>
      </c>
      <c r="E20" s="9">
        <v>12</v>
      </c>
      <c r="F20" s="8" t="s">
        <v>83</v>
      </c>
      <c r="G20" s="9">
        <v>8</v>
      </c>
      <c r="H20" s="10">
        <v>79.2</v>
      </c>
      <c r="I20" s="10">
        <f t="shared" si="0"/>
        <v>633.6</v>
      </c>
      <c r="J20" s="9">
        <f t="shared" si="1"/>
        <v>4</v>
      </c>
      <c r="L20" s="1"/>
      <c r="M20" s="1"/>
    </row>
    <row r="21" spans="1:13" ht="15" x14ac:dyDescent="0.35">
      <c r="A21" s="8" t="s">
        <v>109</v>
      </c>
      <c r="B21" s="8" t="s">
        <v>106</v>
      </c>
      <c r="C21" s="8" t="s">
        <v>110</v>
      </c>
      <c r="D21" s="8" t="s">
        <v>93</v>
      </c>
      <c r="E21" s="9">
        <v>40</v>
      </c>
      <c r="F21" s="8" t="s">
        <v>70</v>
      </c>
      <c r="G21" s="9">
        <v>28</v>
      </c>
      <c r="H21" s="10">
        <v>110.4</v>
      </c>
      <c r="I21" s="10">
        <f t="shared" si="0"/>
        <v>3091.2000000000003</v>
      </c>
      <c r="J21" s="9">
        <f t="shared" si="1"/>
        <v>12</v>
      </c>
      <c r="L21" s="1"/>
      <c r="M21" s="1"/>
    </row>
    <row r="22" spans="1:13" ht="15" x14ac:dyDescent="0.35">
      <c r="A22" s="8" t="s">
        <v>111</v>
      </c>
      <c r="B22" s="8" t="s">
        <v>112</v>
      </c>
      <c r="C22" s="8" t="s">
        <v>113</v>
      </c>
      <c r="D22" s="8" t="s">
        <v>69</v>
      </c>
      <c r="E22" s="9">
        <v>5</v>
      </c>
      <c r="F22" s="8" t="s">
        <v>70</v>
      </c>
      <c r="G22" s="9">
        <v>4</v>
      </c>
      <c r="H22" s="10">
        <v>102</v>
      </c>
      <c r="I22" s="10">
        <f t="shared" si="0"/>
        <v>408</v>
      </c>
      <c r="J22" s="9">
        <f t="shared" si="1"/>
        <v>1</v>
      </c>
      <c r="L22" s="1"/>
      <c r="M22" s="1"/>
    </row>
    <row r="23" spans="1:13" ht="15" x14ac:dyDescent="0.35">
      <c r="A23" s="8" t="s">
        <v>114</v>
      </c>
      <c r="B23" s="8" t="s">
        <v>112</v>
      </c>
      <c r="C23" s="8" t="s">
        <v>115</v>
      </c>
      <c r="D23" s="8" t="s">
        <v>69</v>
      </c>
      <c r="E23" s="9">
        <v>8</v>
      </c>
      <c r="F23" s="8" t="s">
        <v>81</v>
      </c>
      <c r="G23" s="9">
        <v>5</v>
      </c>
      <c r="H23" s="10">
        <v>100</v>
      </c>
      <c r="I23" s="10">
        <f t="shared" si="0"/>
        <v>500</v>
      </c>
      <c r="J23" s="9">
        <f t="shared" si="1"/>
        <v>3</v>
      </c>
      <c r="L23" s="1"/>
      <c r="M23" s="1"/>
    </row>
    <row r="24" spans="1:13" ht="15" x14ac:dyDescent="0.35">
      <c r="A24" s="8" t="s">
        <v>114</v>
      </c>
      <c r="B24" s="8" t="s">
        <v>112</v>
      </c>
      <c r="C24" s="8" t="s">
        <v>116</v>
      </c>
      <c r="D24" s="8" t="s">
        <v>93</v>
      </c>
      <c r="E24" s="9">
        <v>7</v>
      </c>
      <c r="F24" s="8" t="s">
        <v>70</v>
      </c>
      <c r="G24" s="9">
        <v>3</v>
      </c>
      <c r="H24" s="10">
        <v>122</v>
      </c>
      <c r="I24" s="10">
        <f t="shared" si="0"/>
        <v>366</v>
      </c>
      <c r="J24" s="9">
        <f t="shared" si="1"/>
        <v>4</v>
      </c>
      <c r="L24" s="1"/>
      <c r="M24" s="1"/>
    </row>
    <row r="25" spans="1:13" ht="15" x14ac:dyDescent="0.35">
      <c r="A25" s="8" t="s">
        <v>117</v>
      </c>
      <c r="B25" s="8" t="s">
        <v>112</v>
      </c>
      <c r="C25" s="8" t="s">
        <v>118</v>
      </c>
      <c r="D25" s="8" t="s">
        <v>93</v>
      </c>
      <c r="E25" s="9">
        <v>12</v>
      </c>
      <c r="F25" s="8" t="s">
        <v>83</v>
      </c>
      <c r="G25" s="9">
        <v>3</v>
      </c>
      <c r="H25" s="10">
        <v>77.599999999999994</v>
      </c>
      <c r="I25" s="10">
        <f t="shared" si="0"/>
        <v>232.79999999999998</v>
      </c>
      <c r="J25" s="9">
        <f t="shared" si="1"/>
        <v>9</v>
      </c>
      <c r="L25" s="1"/>
      <c r="M25" s="1"/>
    </row>
    <row r="26" spans="1:13" ht="15" x14ac:dyDescent="0.35">
      <c r="A26" s="8" t="s">
        <v>119</v>
      </c>
      <c r="B26" s="8" t="s">
        <v>112</v>
      </c>
      <c r="C26" s="8" t="s">
        <v>120</v>
      </c>
      <c r="D26" s="8" t="s">
        <v>93</v>
      </c>
      <c r="E26" s="9">
        <v>14</v>
      </c>
      <c r="F26" s="8" t="s">
        <v>81</v>
      </c>
      <c r="G26" s="9">
        <v>2</v>
      </c>
      <c r="H26" s="10">
        <v>128</v>
      </c>
      <c r="I26" s="10">
        <f t="shared" si="0"/>
        <v>256</v>
      </c>
      <c r="J26" s="9">
        <f t="shared" si="1"/>
        <v>12</v>
      </c>
    </row>
    <row r="27" spans="1:13" ht="15" x14ac:dyDescent="0.35">
      <c r="A27" s="8" t="s">
        <v>119</v>
      </c>
      <c r="B27" s="8" t="s">
        <v>112</v>
      </c>
      <c r="C27" s="8" t="s">
        <v>121</v>
      </c>
      <c r="D27" s="8" t="s">
        <v>93</v>
      </c>
      <c r="E27" s="9">
        <v>9</v>
      </c>
      <c r="F27" s="8" t="s">
        <v>79</v>
      </c>
      <c r="G27" s="9">
        <v>1</v>
      </c>
      <c r="H27" s="10">
        <v>120</v>
      </c>
      <c r="I27" s="10">
        <f t="shared" si="0"/>
        <v>120</v>
      </c>
      <c r="J27" s="9">
        <f t="shared" si="1"/>
        <v>8</v>
      </c>
    </row>
  </sheetData>
  <mergeCells count="1">
    <mergeCell ref="A1:J1"/>
  </mergeCells>
  <pageMargins left="0.7" right="0.7" top="0.75" bottom="0.75" header="0.3" footer="0.3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50C59-4185-47B6-8CF6-561F06D253F3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5</vt:i4>
      </vt:variant>
    </vt:vector>
  </HeadingPairs>
  <TitlesOfParts>
    <vt:vector size="5" baseType="lpstr">
      <vt:lpstr>Аркуш1</vt:lpstr>
      <vt:lpstr>Аркуш2</vt:lpstr>
      <vt:lpstr>Аркуш3</vt:lpstr>
      <vt:lpstr>Аркуш4</vt:lpstr>
      <vt:lpstr>Аркуш5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</dc:creator>
  <cp:lastModifiedBy>home</cp:lastModifiedBy>
  <dcterms:created xsi:type="dcterms:W3CDTF">2009-11-07T16:26:34Z</dcterms:created>
  <dcterms:modified xsi:type="dcterms:W3CDTF">2022-01-30T01:59:53Z</dcterms:modified>
</cp:coreProperties>
</file>