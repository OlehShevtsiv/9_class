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CAC8E616-F6BB-4C6F-970F-0141C8E8D81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  <sheet name="Аркуш2" sheetId="2" r:id="rId2"/>
  </sheets>
  <definedNames>
    <definedName name="_xlnm._FilterDatabase" localSheetId="0" hidden="1">Аркуш1!$A$2:$J$27</definedName>
    <definedName name="_xlnm._FilterDatabase" localSheetId="1" hidden="1">Аркуш2!$A$2:$J$27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" l="1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3" i="1"/>
  <c r="J24" i="1"/>
  <c r="J19" i="1"/>
  <c r="J20" i="1"/>
  <c r="J5" i="1"/>
  <c r="J9" i="1"/>
  <c r="J10" i="1"/>
  <c r="J11" i="1"/>
  <c r="J16" i="1"/>
  <c r="J17" i="1"/>
  <c r="J18" i="1"/>
  <c r="J14" i="1"/>
  <c r="J15" i="1"/>
  <c r="J4" i="1"/>
  <c r="J6" i="1"/>
  <c r="J7" i="1"/>
  <c r="J8" i="1"/>
  <c r="J3" i="1"/>
  <c r="J21" i="1"/>
  <c r="J25" i="1"/>
  <c r="J26" i="1"/>
  <c r="J27" i="1"/>
  <c r="J12" i="1"/>
  <c r="J13" i="1"/>
  <c r="J22" i="1"/>
  <c r="I23" i="1"/>
  <c r="I24" i="1"/>
  <c r="I19" i="1"/>
  <c r="I20" i="1"/>
  <c r="I5" i="1"/>
  <c r="I9" i="1"/>
  <c r="I10" i="1"/>
  <c r="I11" i="1"/>
  <c r="I16" i="1"/>
  <c r="I17" i="1"/>
  <c r="I18" i="1"/>
  <c r="I14" i="1"/>
  <c r="I15" i="1"/>
  <c r="I4" i="1"/>
  <c r="I6" i="1"/>
  <c r="I7" i="1"/>
  <c r="I8" i="1"/>
  <c r="I3" i="1"/>
  <c r="I21" i="1"/>
  <c r="I25" i="1"/>
  <c r="I26" i="1"/>
  <c r="I27" i="1"/>
  <c r="I12" i="1"/>
  <c r="I13" i="1"/>
  <c r="I22" i="1"/>
</calcChain>
</file>

<file path=xl/sharedStrings.xml><?xml version="1.0" encoding="utf-8"?>
<sst xmlns="http://schemas.openxmlformats.org/spreadsheetml/2006/main" count="272" uniqueCount="121">
  <si>
    <r>
      <rPr>
        <sz val="11.5"/>
        <rFont val="Times New Roman"/>
      </rPr>
      <t>Ім'я</t>
    </r>
  </si>
  <si>
    <r>
      <rPr>
        <sz val="11.5"/>
        <rFont val="Times New Roman"/>
      </rPr>
      <t>Жанр</t>
    </r>
  </si>
  <si>
    <r>
      <rPr>
        <sz val="11.5"/>
        <rFont val="Times New Roman"/>
      </rPr>
      <t>Надійшло</t>
    </r>
  </si>
  <si>
    <r>
      <rPr>
        <sz val="11.5"/>
        <rFont val="Times New Roman"/>
      </rPr>
      <t>Продано</t>
    </r>
  </si>
  <si>
    <r>
      <rPr>
        <sz val="11.5"/>
        <rFont val="Times New Roman"/>
      </rPr>
      <t>Ціна</t>
    </r>
  </si>
  <si>
    <r>
      <rPr>
        <sz val="11.5"/>
        <rFont val="Times New Roman"/>
      </rPr>
      <t>Прибуток</t>
    </r>
  </si>
  <si>
    <r>
      <rPr>
        <sz val="11.5"/>
        <rFont val="Times New Roman"/>
      </rPr>
      <t>Остача</t>
    </r>
  </si>
  <si>
    <r>
      <rPr>
        <sz val="11.5"/>
        <rFont val="Times New Roman"/>
      </rPr>
      <t>Бедрик</t>
    </r>
  </si>
  <si>
    <r>
      <rPr>
        <sz val="11.5"/>
        <rFont val="Times New Roman"/>
      </rPr>
      <t>Юрій</t>
    </r>
  </si>
  <si>
    <r>
      <rPr>
        <sz val="11.5"/>
        <rFont val="Times New Roman"/>
      </rPr>
      <t xml:space="preserve">Свято </t>
    </r>
    <r>
      <rPr>
        <sz val="11.5"/>
        <rFont val="Times New Roman"/>
      </rPr>
      <t>небупя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</si>
  <si>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</si>
  <si>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</si>
  <si>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Юрій</t>
    </r>
  </si>
  <si>
    <r>
      <rPr>
        <sz val="11.5"/>
        <rFont val="Times New Roman"/>
      </rPr>
      <t>Середмістя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</si>
  <si>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</si>
  <si>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</si>
  <si>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Андрухович</t>
    </r>
  </si>
  <si>
    <r>
      <rPr>
        <sz val="11.5"/>
        <rFont val="Times New Roman"/>
      </rPr>
      <t>Юрій</t>
    </r>
  </si>
  <si>
    <r>
      <rPr>
        <sz val="11.5"/>
        <rFont val="Times New Roman"/>
      </rPr>
      <t>Дванадцятьобручів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</si>
  <si>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</si>
  <si>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</si>
  <si>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Камертон Дажбога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</si>
  <si>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</si>
  <si>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Бердник</t>
    </r>
  </si>
  <si>
    <r>
      <rPr>
        <sz val="11.5"/>
        <rFont val="Times New Roman"/>
      </rPr>
      <t>Олесь</t>
    </r>
  </si>
  <si>
    <r>
      <rPr>
        <sz val="11.5"/>
        <rFont val="Times New Roman"/>
      </rPr>
      <t>Вогнесміх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</si>
  <si>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</si>
  <si>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Тріумф</t>
    </r>
  </si>
  <si>
    <r>
      <rPr>
        <sz val="11.5"/>
        <rFont val="Times New Roman"/>
      </rPr>
      <t>Бураго</t>
    </r>
  </si>
  <si>
    <r>
      <rPr>
        <sz val="11.5"/>
        <rFont val="Times New Roman"/>
      </rPr>
      <t>Дмитро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</si>
  <si>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</si>
  <si>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</si>
  <si>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Вороний</t>
    </r>
  </si>
  <si>
    <r>
      <rPr>
        <sz val="11.5"/>
        <rFont val="Times New Roman"/>
      </rPr>
      <t>Микола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</si>
  <si>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</si>
  <si>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</si>
  <si>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Вінграновський</t>
    </r>
  </si>
  <si>
    <r>
      <rPr>
        <sz val="11.5"/>
        <rFont val="Times New Roman"/>
      </rPr>
      <t>Микола</t>
    </r>
  </si>
  <si>
    <r>
      <rPr>
        <sz val="11.5"/>
        <rFont val="Times New Roman"/>
      </rPr>
      <t>Первинка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</si>
  <si>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</si>
  <si>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</si>
  <si>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Вінграновський</t>
    </r>
  </si>
  <si>
    <r>
      <rPr>
        <sz val="11.5"/>
        <rFont val="Times New Roman"/>
      </rPr>
      <t>Киів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</si>
  <si>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</si>
  <si>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</si>
  <si>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Забужко</t>
    </r>
  </si>
  <si>
    <r>
      <rPr>
        <sz val="11.5"/>
        <rFont val="Times New Roman"/>
      </rPr>
      <t>Оксана</t>
    </r>
  </si>
  <si>
    <r>
      <rPr>
        <sz val="11.5"/>
        <rFont val="Times New Roman"/>
      </rPr>
      <t>Сестро, сестро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</si>
  <si>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</si>
  <si>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</si>
  <si>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Інопланетянка</t>
    </r>
  </si>
  <si>
    <r>
      <rPr>
        <sz val="11.5"/>
        <rFont val="Times New Roman"/>
      </rPr>
      <t>Тріумф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</si>
  <si>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</si>
  <si>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</si>
  <si>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Наталя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</si>
  <si>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</si>
  <si>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</si>
  <si>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Наталя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</si>
  <si>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</si>
  <si>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</si>
  <si>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Кушнір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</si>
  <si>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</si>
  <si>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</si>
  <si>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Дмитро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</si>
  <si>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</si>
  <si>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Сепена</t>
    </r>
  </si>
  <si>
    <r>
      <rPr>
        <sz val="11.5"/>
        <rFont val="Times New Roman"/>
      </rPr>
      <t>Дмитро</t>
    </r>
  </si>
  <si>
    <r>
      <rPr>
        <sz val="11.5"/>
        <rFont val="Times New Roman"/>
      </rPr>
      <t>Сонети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</si>
  <si>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</si>
  <si>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</si>
  <si>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Дмитро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</si>
  <si>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</si>
  <si>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Тріумф</t>
    </r>
  </si>
  <si>
    <r>
      <rPr>
        <sz val="11.5"/>
        <rFont val="Times New Roman"/>
      </rPr>
      <t>Симоненко</t>
    </r>
  </si>
  <si>
    <r>
      <rPr>
        <sz val="11.5"/>
        <rFont val="Times New Roman"/>
      </rPr>
      <t>Василь</t>
    </r>
  </si>
  <si>
    <r>
      <rPr>
        <sz val="11.5"/>
        <rFont val="Times New Roman"/>
      </rPr>
      <t>Вибране</t>
    </r>
  </si>
  <si>
    <r>
      <rPr>
        <sz val="11.5"/>
        <rFont val="Times New Roman"/>
      </rPr>
      <t>Вірші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</si>
  <si>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</si>
  <si>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Олесь</t>
    </r>
  </si>
  <si>
    <r>
      <rPr>
        <sz val="11.5"/>
        <rFont val="Times New Roman"/>
      </rPr>
      <t>Собор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</si>
  <si>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</si>
  <si>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Орфей</t>
    </r>
  </si>
  <si>
    <r>
      <rPr>
        <sz val="11.5"/>
        <rFont val="Times New Roman"/>
      </rPr>
      <t>Щербак</t>
    </r>
  </si>
  <si>
    <r>
      <rPr>
        <sz val="11.5"/>
        <rFont val="Times New Roman"/>
      </rPr>
      <t>Юрій</t>
    </r>
  </si>
  <si>
    <r>
      <rPr>
        <sz val="11.5"/>
        <rFont val="Times New Roman"/>
      </rPr>
      <t>Чорнобиль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</si>
  <si>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</si>
  <si>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Тріумф</t>
    </r>
  </si>
  <si>
    <r>
      <rPr>
        <sz val="11.5"/>
        <rFont val="Times New Roman"/>
      </rPr>
      <t>Юрій</t>
    </r>
  </si>
  <si>
    <r>
      <rPr>
        <sz val="11.5"/>
        <rFont val="Times New Roman"/>
      </rPr>
      <t>Вірую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</si>
  <si>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</si>
  <si>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</si>
  <si>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Юрій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</si>
  <si>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</si>
  <si>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Сепена</t>
    </r>
  </si>
  <si>
    <r>
      <rPr>
        <sz val="11.5"/>
        <rFont val="Times New Roman"/>
      </rPr>
      <t>Михайло</t>
    </r>
  </si>
  <si>
    <r>
      <rPr>
        <sz val="11.5"/>
        <rFont val="Times New Roman"/>
      </rPr>
      <t>Чотири броди</t>
    </r>
  </si>
  <si>
    <r>
      <rPr>
        <sz val="11.5"/>
        <rFont val="Times New Roman"/>
      </rPr>
      <t>Проза</t>
    </r>
  </si>
  <si>
    <r>
      <rPr>
        <sz val="11.5"/>
        <rFont val="Times New Roman"/>
      </rPr>
      <t>Селена</t>
    </r>
  </si>
  <si>
    <r>
      <rPr>
        <sz val="11.5"/>
        <rFont val="Times New Roman"/>
      </rPr>
      <t>Старицький</t>
    </r>
  </si>
  <si>
    <r>
      <rPr>
        <sz val="11.5"/>
        <rFont val="Times New Roman"/>
      </rPr>
      <t>Михайло</t>
    </r>
  </si>
  <si>
    <r>
      <rPr>
        <sz val="11.5"/>
        <rFont val="Times New Roman"/>
      </rPr>
      <t>Тріумф</t>
    </r>
  </si>
  <si>
    <t>Назва</t>
  </si>
  <si>
    <t>Ехо мертвого озера</t>
  </si>
  <si>
    <t>Хорунжий</t>
  </si>
  <si>
    <t>Гончар</t>
  </si>
  <si>
    <t>Історичні романи</t>
  </si>
  <si>
    <t>Таємна грамота</t>
  </si>
  <si>
    <t>Книжковий магазин</t>
  </si>
  <si>
    <t>Павличко</t>
  </si>
  <si>
    <t>Стельмах</t>
  </si>
  <si>
    <t>Забіна</t>
  </si>
  <si>
    <t>Віктор</t>
  </si>
  <si>
    <t>Ліричні поезії</t>
  </si>
  <si>
    <t>Веселим малюкам</t>
  </si>
  <si>
    <t>Ясочкина книжка</t>
  </si>
  <si>
    <t>Друга спроба</t>
  </si>
  <si>
    <t>Повернения</t>
  </si>
  <si>
    <t>Три строфи</t>
  </si>
  <si>
    <t>Моя земля</t>
  </si>
  <si>
    <t>Прізвище</t>
  </si>
  <si>
    <t>Фірма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</si>
</sst>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.5"/>
      <name val="Times New Roman"/>
    </font>
    <font>
      <b/>
      <sz val="16"/>
      <color rgb="FF000000"/>
      <name val="Calibri"/>
      <family val="2"/>
      <charset val="204"/>
    </font>
    <font>
      <sz val="11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90" zoomScaleNormal="90" workbookViewId="0">
      <selection activeCell="D19" sqref="D19"/>
    </sheetView>
  </sheetViews>
  <sheetFormatPr defaultRowHeight="14.5" x14ac:dyDescent="0.35"/>
  <cols>
    <col min="1" max="1" width="15.90625" customWidth="1"/>
    <col min="2" max="2" width="10.6328125" customWidth="1"/>
    <col min="3" max="3" width="19.36328125" customWidth="1"/>
    <col min="4" max="4" width="10.90625" customWidth="1"/>
    <col min="5" max="5" width="12.08984375" style="3" customWidth="1"/>
    <col min="6" max="6" width="11.6328125" customWidth="1"/>
    <col min="7" max="7" width="11.1796875" style="3" customWidth="1"/>
    <col min="8" max="8" width="12.08984375" style="7" customWidth="1"/>
    <col min="9" max="9" width="12" style="7" customWidth="1"/>
    <col min="10" max="10" width="9.54296875" style="3" customWidth="1"/>
  </cols>
  <sheetData>
    <row r="1" spans="1:10" ht="31.75" customHeight="1" x14ac:dyDescent="0.35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.75" customHeight="1" x14ac:dyDescent="0.35">
      <c r="A2" s="9" t="s">
        <v>119</v>
      </c>
      <c r="B2" s="4" t="s">
        <v>0</v>
      </c>
      <c r="C2" s="4" t="s">
        <v>101</v>
      </c>
      <c r="D2" s="4" t="s">
        <v>1</v>
      </c>
      <c r="E2" s="4" t="s">
        <v>2</v>
      </c>
      <c r="F2" s="9" t="s">
        <v>120</v>
      </c>
      <c r="G2" s="4" t="s">
        <v>3</v>
      </c>
      <c r="H2" s="5" t="s">
        <v>4</v>
      </c>
      <c r="I2" s="5" t="s">
        <v>5</v>
      </c>
      <c r="J2" s="4" t="s">
        <v>6</v>
      </c>
    </row>
    <row r="3" spans="1:10" ht="15" x14ac:dyDescent="0.35">
      <c r="A3" s="1" t="s">
        <v>73</v>
      </c>
      <c r="B3" s="1" t="s">
        <v>74</v>
      </c>
      <c r="C3" s="1" t="s">
        <v>75</v>
      </c>
      <c r="D3" s="1" t="s">
        <v>76</v>
      </c>
      <c r="E3" s="2">
        <v>30</v>
      </c>
      <c r="F3" s="1" t="s">
        <v>77</v>
      </c>
      <c r="G3" s="2">
        <v>25</v>
      </c>
      <c r="H3" s="6">
        <v>80</v>
      </c>
      <c r="I3" s="6">
        <f t="shared" ref="I3:I27" si="0">G3*H3</f>
        <v>2000</v>
      </c>
      <c r="J3" s="2">
        <f t="shared" ref="J3:J27" si="1">E3-G3</f>
        <v>5</v>
      </c>
    </row>
    <row r="4" spans="1:10" ht="15" x14ac:dyDescent="0.35">
      <c r="A4" s="1" t="s">
        <v>60</v>
      </c>
      <c r="B4" s="8" t="s">
        <v>111</v>
      </c>
      <c r="C4" s="8" t="s">
        <v>116</v>
      </c>
      <c r="D4" s="1" t="s">
        <v>61</v>
      </c>
      <c r="E4" s="2">
        <v>11</v>
      </c>
      <c r="F4" s="1" t="s">
        <v>62</v>
      </c>
      <c r="G4" s="2">
        <v>4</v>
      </c>
      <c r="H4" s="6">
        <v>68</v>
      </c>
      <c r="I4" s="6">
        <f t="shared" si="0"/>
        <v>272</v>
      </c>
      <c r="J4" s="2">
        <f t="shared" si="1"/>
        <v>7</v>
      </c>
    </row>
    <row r="5" spans="1:10" ht="15" x14ac:dyDescent="0.35">
      <c r="A5" s="1" t="s">
        <v>28</v>
      </c>
      <c r="B5" s="1" t="s">
        <v>29</v>
      </c>
      <c r="C5" s="1" t="s">
        <v>102</v>
      </c>
      <c r="D5" s="1" t="s">
        <v>30</v>
      </c>
      <c r="E5" s="2">
        <v>3</v>
      </c>
      <c r="F5" s="1" t="s">
        <v>31</v>
      </c>
      <c r="G5" s="2">
        <v>1</v>
      </c>
      <c r="H5" s="6">
        <v>60</v>
      </c>
      <c r="I5" s="6">
        <f t="shared" si="0"/>
        <v>60</v>
      </c>
      <c r="J5" s="2">
        <f t="shared" si="1"/>
        <v>2</v>
      </c>
    </row>
    <row r="6" spans="1:10" ht="15" x14ac:dyDescent="0.35">
      <c r="A6" s="8" t="s">
        <v>108</v>
      </c>
      <c r="B6" s="1" t="s">
        <v>63</v>
      </c>
      <c r="C6" s="8" t="s">
        <v>118</v>
      </c>
      <c r="D6" s="1" t="s">
        <v>64</v>
      </c>
      <c r="E6" s="2">
        <v>35</v>
      </c>
      <c r="F6" s="1" t="s">
        <v>65</v>
      </c>
      <c r="G6" s="2">
        <v>4</v>
      </c>
      <c r="H6" s="6">
        <v>84</v>
      </c>
      <c r="I6" s="6">
        <f t="shared" si="0"/>
        <v>336</v>
      </c>
      <c r="J6" s="2">
        <f t="shared" si="1"/>
        <v>31</v>
      </c>
    </row>
    <row r="7" spans="1:10" ht="15" x14ac:dyDescent="0.35">
      <c r="A7" s="8" t="s">
        <v>108</v>
      </c>
      <c r="B7" s="1" t="s">
        <v>66</v>
      </c>
      <c r="C7" s="1" t="s">
        <v>67</v>
      </c>
      <c r="D7" s="1" t="s">
        <v>68</v>
      </c>
      <c r="E7" s="2">
        <v>24</v>
      </c>
      <c r="F7" s="1" t="s">
        <v>69</v>
      </c>
      <c r="G7" s="2">
        <v>11</v>
      </c>
      <c r="H7" s="6">
        <v>100</v>
      </c>
      <c r="I7" s="6">
        <f t="shared" si="0"/>
        <v>1100</v>
      </c>
      <c r="J7" s="2">
        <f t="shared" si="1"/>
        <v>13</v>
      </c>
    </row>
    <row r="8" spans="1:10" ht="15" x14ac:dyDescent="0.35">
      <c r="A8" s="8" t="s">
        <v>108</v>
      </c>
      <c r="B8" s="1" t="s">
        <v>70</v>
      </c>
      <c r="C8" s="8" t="s">
        <v>117</v>
      </c>
      <c r="D8" s="1" t="s">
        <v>71</v>
      </c>
      <c r="E8" s="2">
        <v>27</v>
      </c>
      <c r="F8" s="1" t="s">
        <v>72</v>
      </c>
      <c r="G8" s="2">
        <v>17</v>
      </c>
      <c r="H8" s="6">
        <v>100</v>
      </c>
      <c r="I8" s="6">
        <f t="shared" si="0"/>
        <v>1700</v>
      </c>
      <c r="J8" s="2">
        <f t="shared" si="1"/>
        <v>10</v>
      </c>
    </row>
    <row r="9" spans="1:10" ht="15" x14ac:dyDescent="0.35">
      <c r="A9" s="1" t="s">
        <v>32</v>
      </c>
      <c r="B9" s="1" t="s">
        <v>33</v>
      </c>
      <c r="C9" s="8" t="s">
        <v>112</v>
      </c>
      <c r="D9" s="1" t="s">
        <v>34</v>
      </c>
      <c r="E9" s="2">
        <v>7</v>
      </c>
      <c r="F9" s="1" t="s">
        <v>35</v>
      </c>
      <c r="G9" s="2">
        <v>5</v>
      </c>
      <c r="H9" s="6">
        <v>104</v>
      </c>
      <c r="I9" s="6">
        <f t="shared" si="0"/>
        <v>520</v>
      </c>
      <c r="J9" s="2">
        <f t="shared" si="1"/>
        <v>2</v>
      </c>
    </row>
    <row r="10" spans="1:10" ht="15" x14ac:dyDescent="0.35">
      <c r="A10" s="1" t="s">
        <v>36</v>
      </c>
      <c r="B10" s="1" t="s">
        <v>37</v>
      </c>
      <c r="C10" s="1" t="s">
        <v>38</v>
      </c>
      <c r="D10" s="1" t="s">
        <v>39</v>
      </c>
      <c r="E10" s="2">
        <v>21</v>
      </c>
      <c r="F10" s="1" t="s">
        <v>40</v>
      </c>
      <c r="G10" s="2">
        <v>16</v>
      </c>
      <c r="H10" s="6">
        <v>120</v>
      </c>
      <c r="I10" s="6">
        <f t="shared" si="0"/>
        <v>1920</v>
      </c>
      <c r="J10" s="2">
        <f t="shared" si="1"/>
        <v>5</v>
      </c>
    </row>
    <row r="11" spans="1:10" ht="15" x14ac:dyDescent="0.35">
      <c r="A11" s="1" t="s">
        <v>41</v>
      </c>
      <c r="B11" s="1" t="s">
        <v>33</v>
      </c>
      <c r="C11" s="1" t="s">
        <v>42</v>
      </c>
      <c r="D11" s="1" t="s">
        <v>43</v>
      </c>
      <c r="E11" s="2">
        <v>15</v>
      </c>
      <c r="F11" s="1" t="s">
        <v>44</v>
      </c>
      <c r="G11" s="2">
        <v>12</v>
      </c>
      <c r="H11" s="6">
        <v>108</v>
      </c>
      <c r="I11" s="6">
        <f t="shared" si="0"/>
        <v>1296</v>
      </c>
      <c r="J11" s="2">
        <f t="shared" si="1"/>
        <v>3</v>
      </c>
    </row>
    <row r="12" spans="1:10" ht="15" x14ac:dyDescent="0.35">
      <c r="A12" s="8" t="s">
        <v>109</v>
      </c>
      <c r="B12" s="1" t="s">
        <v>94</v>
      </c>
      <c r="C12" s="1" t="s">
        <v>95</v>
      </c>
      <c r="D12" s="1" t="s">
        <v>96</v>
      </c>
      <c r="E12" s="2">
        <v>23</v>
      </c>
      <c r="F12" s="1" t="s">
        <v>97</v>
      </c>
      <c r="G12" s="2">
        <v>14</v>
      </c>
      <c r="H12" s="6">
        <v>96</v>
      </c>
      <c r="I12" s="6">
        <f t="shared" si="0"/>
        <v>1344</v>
      </c>
      <c r="J12" s="2">
        <f t="shared" si="1"/>
        <v>9</v>
      </c>
    </row>
    <row r="13" spans="1:10" ht="15" x14ac:dyDescent="0.35">
      <c r="A13" s="1" t="s">
        <v>98</v>
      </c>
      <c r="B13" s="1" t="s">
        <v>99</v>
      </c>
      <c r="C13" s="1" t="s">
        <v>105</v>
      </c>
      <c r="D13" s="1" t="s">
        <v>19</v>
      </c>
      <c r="E13" s="2">
        <v>14</v>
      </c>
      <c r="F13" s="1" t="s">
        <v>100</v>
      </c>
      <c r="G13" s="2">
        <v>5</v>
      </c>
      <c r="H13" s="6">
        <v>111.2</v>
      </c>
      <c r="I13" s="6">
        <f t="shared" si="0"/>
        <v>556</v>
      </c>
      <c r="J13" s="2">
        <f t="shared" si="1"/>
        <v>9</v>
      </c>
    </row>
    <row r="14" spans="1:10" ht="15" x14ac:dyDescent="0.35">
      <c r="A14" s="8" t="s">
        <v>110</v>
      </c>
      <c r="B14" s="1" t="s">
        <v>54</v>
      </c>
      <c r="C14" s="8" t="s">
        <v>114</v>
      </c>
      <c r="D14" s="1" t="s">
        <v>55</v>
      </c>
      <c r="E14" s="2">
        <v>15</v>
      </c>
      <c r="F14" s="1" t="s">
        <v>56</v>
      </c>
      <c r="G14" s="2">
        <v>12</v>
      </c>
      <c r="H14" s="6">
        <v>50</v>
      </c>
      <c r="I14" s="6">
        <f t="shared" si="0"/>
        <v>600</v>
      </c>
      <c r="J14" s="2">
        <f t="shared" si="1"/>
        <v>3</v>
      </c>
    </row>
    <row r="15" spans="1:10" ht="15" x14ac:dyDescent="0.35">
      <c r="A15" s="8" t="s">
        <v>110</v>
      </c>
      <c r="B15" s="1" t="s">
        <v>57</v>
      </c>
      <c r="C15" s="8" t="s">
        <v>113</v>
      </c>
      <c r="D15" s="1" t="s">
        <v>58</v>
      </c>
      <c r="E15" s="2">
        <v>12</v>
      </c>
      <c r="F15" s="1" t="s">
        <v>59</v>
      </c>
      <c r="G15" s="2">
        <v>10</v>
      </c>
      <c r="H15" s="6">
        <v>34.799999999999997</v>
      </c>
      <c r="I15" s="6">
        <f t="shared" si="0"/>
        <v>348</v>
      </c>
      <c r="J15" s="2">
        <f t="shared" si="1"/>
        <v>2</v>
      </c>
    </row>
    <row r="16" spans="1:10" ht="15" x14ac:dyDescent="0.35">
      <c r="A16" s="1" t="s">
        <v>45</v>
      </c>
      <c r="B16" s="1" t="s">
        <v>46</v>
      </c>
      <c r="C16" s="1" t="s">
        <v>47</v>
      </c>
      <c r="D16" s="1" t="s">
        <v>48</v>
      </c>
      <c r="E16" s="2">
        <v>10</v>
      </c>
      <c r="F16" s="1" t="s">
        <v>49</v>
      </c>
      <c r="G16" s="2">
        <v>8</v>
      </c>
      <c r="H16" s="6">
        <v>128</v>
      </c>
      <c r="I16" s="6">
        <f t="shared" si="0"/>
        <v>1024</v>
      </c>
      <c r="J16" s="2">
        <f t="shared" si="1"/>
        <v>2</v>
      </c>
    </row>
    <row r="17" spans="1:10" ht="15" x14ac:dyDescent="0.35">
      <c r="A17" s="1" t="s">
        <v>45</v>
      </c>
      <c r="B17" s="1" t="s">
        <v>46</v>
      </c>
      <c r="C17" s="1" t="s">
        <v>50</v>
      </c>
      <c r="D17" s="1" t="s">
        <v>19</v>
      </c>
      <c r="E17" s="2">
        <v>28</v>
      </c>
      <c r="F17" s="1" t="s">
        <v>51</v>
      </c>
      <c r="G17" s="2">
        <v>12</v>
      </c>
      <c r="H17" s="6">
        <v>140</v>
      </c>
      <c r="I17" s="6">
        <f t="shared" si="0"/>
        <v>1680</v>
      </c>
      <c r="J17" s="2">
        <f t="shared" si="1"/>
        <v>16</v>
      </c>
    </row>
    <row r="18" spans="1:10" ht="15" x14ac:dyDescent="0.35">
      <c r="A18" s="1" t="s">
        <v>45</v>
      </c>
      <c r="B18" s="1" t="s">
        <v>46</v>
      </c>
      <c r="C18" s="8" t="s">
        <v>115</v>
      </c>
      <c r="D18" s="1" t="s">
        <v>52</v>
      </c>
      <c r="E18" s="2">
        <v>25</v>
      </c>
      <c r="F18" s="1" t="s">
        <v>53</v>
      </c>
      <c r="G18" s="2">
        <v>20</v>
      </c>
      <c r="H18" s="6">
        <v>124</v>
      </c>
      <c r="I18" s="6">
        <f t="shared" si="0"/>
        <v>2480</v>
      </c>
      <c r="J18" s="2">
        <f t="shared" si="1"/>
        <v>5</v>
      </c>
    </row>
    <row r="19" spans="1:10" ht="15" x14ac:dyDescent="0.35">
      <c r="A19" s="1" t="s">
        <v>23</v>
      </c>
      <c r="B19" s="1" t="s">
        <v>24</v>
      </c>
      <c r="C19" s="1" t="s">
        <v>21</v>
      </c>
      <c r="D19" s="1" t="s">
        <v>19</v>
      </c>
      <c r="E19" s="2">
        <v>10</v>
      </c>
      <c r="F19" s="1" t="s">
        <v>22</v>
      </c>
      <c r="G19" s="2">
        <v>10</v>
      </c>
      <c r="H19" s="6">
        <v>86.8</v>
      </c>
      <c r="I19" s="6">
        <f t="shared" si="0"/>
        <v>868</v>
      </c>
      <c r="J19" s="2">
        <f t="shared" si="1"/>
        <v>0</v>
      </c>
    </row>
    <row r="20" spans="1:10" ht="15" x14ac:dyDescent="0.35">
      <c r="A20" s="1" t="s">
        <v>23</v>
      </c>
      <c r="B20" s="1" t="s">
        <v>24</v>
      </c>
      <c r="C20" s="1" t="s">
        <v>25</v>
      </c>
      <c r="D20" s="1" t="s">
        <v>26</v>
      </c>
      <c r="E20" s="2">
        <v>12</v>
      </c>
      <c r="F20" s="1" t="s">
        <v>27</v>
      </c>
      <c r="G20" s="2">
        <v>8</v>
      </c>
      <c r="H20" s="6">
        <v>79.2</v>
      </c>
      <c r="I20" s="6">
        <f t="shared" si="0"/>
        <v>633.6</v>
      </c>
      <c r="J20" s="2">
        <f t="shared" si="1"/>
        <v>4</v>
      </c>
    </row>
    <row r="21" spans="1:10" ht="15" x14ac:dyDescent="0.35">
      <c r="A21" s="1" t="s">
        <v>104</v>
      </c>
      <c r="B21" s="1" t="s">
        <v>78</v>
      </c>
      <c r="C21" s="1" t="s">
        <v>79</v>
      </c>
      <c r="D21" s="1" t="s">
        <v>80</v>
      </c>
      <c r="E21" s="2">
        <v>40</v>
      </c>
      <c r="F21" s="1" t="s">
        <v>81</v>
      </c>
      <c r="G21" s="2">
        <v>28</v>
      </c>
      <c r="H21" s="6">
        <v>110.4</v>
      </c>
      <c r="I21" s="6">
        <f t="shared" si="0"/>
        <v>3091.2000000000003</v>
      </c>
      <c r="J21" s="2">
        <f t="shared" si="1"/>
        <v>12</v>
      </c>
    </row>
    <row r="22" spans="1:10" ht="15" x14ac:dyDescent="0.35">
      <c r="A22" s="1" t="s">
        <v>7</v>
      </c>
      <c r="B22" s="1" t="s">
        <v>8</v>
      </c>
      <c r="C22" s="1" t="s">
        <v>9</v>
      </c>
      <c r="D22" s="1" t="s">
        <v>10</v>
      </c>
      <c r="E22" s="2">
        <v>5</v>
      </c>
      <c r="F22" s="1" t="s">
        <v>11</v>
      </c>
      <c r="G22" s="2">
        <v>4</v>
      </c>
      <c r="H22" s="6">
        <v>102</v>
      </c>
      <c r="I22" s="6">
        <f t="shared" si="0"/>
        <v>408</v>
      </c>
      <c r="J22" s="2">
        <f t="shared" si="1"/>
        <v>1</v>
      </c>
    </row>
    <row r="23" spans="1:10" ht="15" x14ac:dyDescent="0.35">
      <c r="A23" s="1" t="s">
        <v>16</v>
      </c>
      <c r="B23" s="1" t="s">
        <v>12</v>
      </c>
      <c r="C23" s="1" t="s">
        <v>13</v>
      </c>
      <c r="D23" s="1" t="s">
        <v>14</v>
      </c>
      <c r="E23" s="2">
        <v>8</v>
      </c>
      <c r="F23" s="1" t="s">
        <v>15</v>
      </c>
      <c r="G23" s="2">
        <v>5</v>
      </c>
      <c r="H23" s="6">
        <v>100</v>
      </c>
      <c r="I23" s="6">
        <f t="shared" si="0"/>
        <v>500</v>
      </c>
      <c r="J23" s="2">
        <f t="shared" si="1"/>
        <v>3</v>
      </c>
    </row>
    <row r="24" spans="1:10" ht="15" x14ac:dyDescent="0.35">
      <c r="A24" s="1" t="s">
        <v>16</v>
      </c>
      <c r="B24" s="1" t="s">
        <v>17</v>
      </c>
      <c r="C24" s="1" t="s">
        <v>18</v>
      </c>
      <c r="D24" s="1" t="s">
        <v>19</v>
      </c>
      <c r="E24" s="2">
        <v>7</v>
      </c>
      <c r="F24" s="1" t="s">
        <v>20</v>
      </c>
      <c r="G24" s="2">
        <v>3</v>
      </c>
      <c r="H24" s="6">
        <v>122</v>
      </c>
      <c r="I24" s="6">
        <f t="shared" si="0"/>
        <v>366</v>
      </c>
      <c r="J24" s="2">
        <f t="shared" si="1"/>
        <v>4</v>
      </c>
    </row>
    <row r="25" spans="1:10" ht="15" x14ac:dyDescent="0.35">
      <c r="A25" s="1" t="s">
        <v>82</v>
      </c>
      <c r="B25" s="1" t="s">
        <v>83</v>
      </c>
      <c r="C25" s="1" t="s">
        <v>84</v>
      </c>
      <c r="D25" s="1" t="s">
        <v>85</v>
      </c>
      <c r="E25" s="2">
        <v>12</v>
      </c>
      <c r="F25" s="1" t="s">
        <v>86</v>
      </c>
      <c r="G25" s="2">
        <v>3</v>
      </c>
      <c r="H25" s="6">
        <v>77.599999999999994</v>
      </c>
      <c r="I25" s="6">
        <f t="shared" si="0"/>
        <v>232.79999999999998</v>
      </c>
      <c r="J25" s="2">
        <f t="shared" si="1"/>
        <v>9</v>
      </c>
    </row>
    <row r="26" spans="1:10" ht="15" x14ac:dyDescent="0.35">
      <c r="A26" s="1" t="s">
        <v>103</v>
      </c>
      <c r="B26" s="1" t="s">
        <v>87</v>
      </c>
      <c r="C26" s="1" t="s">
        <v>88</v>
      </c>
      <c r="D26" s="1" t="s">
        <v>89</v>
      </c>
      <c r="E26" s="2">
        <v>14</v>
      </c>
      <c r="F26" s="1" t="s">
        <v>90</v>
      </c>
      <c r="G26" s="2">
        <v>2</v>
      </c>
      <c r="H26" s="6">
        <v>128</v>
      </c>
      <c r="I26" s="6">
        <f t="shared" si="0"/>
        <v>256</v>
      </c>
      <c r="J26" s="2">
        <f t="shared" si="1"/>
        <v>12</v>
      </c>
    </row>
    <row r="27" spans="1:10" ht="15" x14ac:dyDescent="0.35">
      <c r="A27" s="1" t="s">
        <v>103</v>
      </c>
      <c r="B27" s="1" t="s">
        <v>91</v>
      </c>
      <c r="C27" s="1" t="s">
        <v>106</v>
      </c>
      <c r="D27" s="1" t="s">
        <v>92</v>
      </c>
      <c r="E27" s="2">
        <v>9</v>
      </c>
      <c r="F27" s="1" t="s">
        <v>93</v>
      </c>
      <c r="G27" s="2">
        <v>1</v>
      </c>
      <c r="H27" s="6">
        <v>120</v>
      </c>
      <c r="I27" s="6">
        <f t="shared" si="0"/>
        <v>120</v>
      </c>
      <c r="J27" s="2">
        <f t="shared" si="1"/>
        <v>8</v>
      </c>
    </row>
  </sheetData>
  <mergeCells count="1">
    <mergeCell ref="A1:J1"/>
  </mergeCells>
  <pageMargins left="1.25" right="1.25" top="1" bottom="0.79166666666666696" header="0.25" footer="0.2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9728-0D1A-4DD7-93B2-89F3F920FF3F}">
  <dimension ref="A1:J27"/>
  <sheetViews>
    <sheetView zoomScale="90" zoomScaleNormal="90" workbookViewId="0">
      <selection activeCell="O5" sqref="N5:O5"/>
    </sheetView>
  </sheetViews>
  <sheetFormatPr defaultRowHeight="14.5" x14ac:dyDescent="0.35"/>
  <cols>
    <col min="1" max="1" width="15.90625" customWidth="1"/>
    <col min="2" max="2" width="10.6328125" customWidth="1"/>
    <col min="3" max="3" width="19.36328125" customWidth="1"/>
    <col min="4" max="4" width="10.90625" customWidth="1"/>
    <col min="5" max="5" width="12.08984375" style="3" customWidth="1"/>
    <col min="6" max="6" width="11.6328125" customWidth="1"/>
    <col min="7" max="7" width="11.1796875" style="3" customWidth="1"/>
    <col min="8" max="8" width="12.08984375" style="7" customWidth="1"/>
    <col min="9" max="9" width="12" style="7" customWidth="1"/>
    <col min="10" max="10" width="9.54296875" style="3" customWidth="1"/>
  </cols>
  <sheetData>
    <row r="1" spans="1:10" ht="31.75" customHeight="1" x14ac:dyDescent="0.35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.75" customHeight="1" x14ac:dyDescent="0.35">
      <c r="A2" s="9" t="s">
        <v>119</v>
      </c>
      <c r="B2" s="4" t="s">
        <v>0</v>
      </c>
      <c r="C2" s="4" t="s">
        <v>101</v>
      </c>
      <c r="D2" s="4" t="s">
        <v>1</v>
      </c>
      <c r="E2" s="4" t="s">
        <v>2</v>
      </c>
      <c r="F2" s="9" t="s">
        <v>120</v>
      </c>
      <c r="G2" s="4" t="s">
        <v>3</v>
      </c>
      <c r="H2" s="5" t="s">
        <v>4</v>
      </c>
      <c r="I2" s="5" t="s">
        <v>5</v>
      </c>
      <c r="J2" s="4" t="s">
        <v>6</v>
      </c>
    </row>
    <row r="3" spans="1:10" ht="15" x14ac:dyDescent="0.35">
      <c r="A3" s="1" t="s">
        <v>73</v>
      </c>
      <c r="B3" s="1" t="s">
        <v>74</v>
      </c>
      <c r="C3" s="1" t="s">
        <v>75</v>
      </c>
      <c r="D3" s="1" t="s">
        <v>10</v>
      </c>
      <c r="E3" s="2">
        <v>30</v>
      </c>
      <c r="F3" s="1" t="s">
        <v>11</v>
      </c>
      <c r="G3" s="2">
        <v>25</v>
      </c>
      <c r="H3" s="6">
        <v>80</v>
      </c>
      <c r="I3" s="6">
        <f t="shared" ref="I3:I27" si="0">G3*H3</f>
        <v>2000</v>
      </c>
      <c r="J3" s="2">
        <f t="shared" ref="J3:J27" si="1">E3-G3</f>
        <v>5</v>
      </c>
    </row>
    <row r="4" spans="1:10" ht="15" x14ac:dyDescent="0.35">
      <c r="A4" s="1" t="s">
        <v>60</v>
      </c>
      <c r="B4" s="8" t="s">
        <v>111</v>
      </c>
      <c r="C4" s="8" t="s">
        <v>116</v>
      </c>
      <c r="D4" s="1" t="s">
        <v>10</v>
      </c>
      <c r="E4" s="2">
        <v>11</v>
      </c>
      <c r="F4" s="1" t="s">
        <v>11</v>
      </c>
      <c r="G4" s="2">
        <v>4</v>
      </c>
      <c r="H4" s="6">
        <v>68</v>
      </c>
      <c r="I4" s="6">
        <f t="shared" si="0"/>
        <v>272</v>
      </c>
      <c r="J4" s="2">
        <f t="shared" si="1"/>
        <v>7</v>
      </c>
    </row>
    <row r="5" spans="1:10" ht="15" x14ac:dyDescent="0.35">
      <c r="A5" s="1" t="s">
        <v>28</v>
      </c>
      <c r="B5" s="1" t="s">
        <v>29</v>
      </c>
      <c r="C5" s="1" t="s">
        <v>102</v>
      </c>
      <c r="D5" s="1" t="s">
        <v>10</v>
      </c>
      <c r="E5" s="2">
        <v>3</v>
      </c>
      <c r="F5" s="1" t="s">
        <v>11</v>
      </c>
      <c r="G5" s="2">
        <v>1</v>
      </c>
      <c r="H5" s="6">
        <v>60</v>
      </c>
      <c r="I5" s="6">
        <f t="shared" si="0"/>
        <v>60</v>
      </c>
      <c r="J5" s="2">
        <f t="shared" si="1"/>
        <v>2</v>
      </c>
    </row>
    <row r="6" spans="1:10" ht="15" x14ac:dyDescent="0.35">
      <c r="A6" s="8" t="s">
        <v>108</v>
      </c>
      <c r="B6" s="1" t="s">
        <v>29</v>
      </c>
      <c r="C6" s="8" t="s">
        <v>118</v>
      </c>
      <c r="D6" s="1" t="s">
        <v>10</v>
      </c>
      <c r="E6" s="2">
        <v>35</v>
      </c>
      <c r="F6" s="1" t="s">
        <v>65</v>
      </c>
      <c r="G6" s="2">
        <v>4</v>
      </c>
      <c r="H6" s="6">
        <v>84</v>
      </c>
      <c r="I6" s="6">
        <f t="shared" si="0"/>
        <v>336</v>
      </c>
      <c r="J6" s="2">
        <f t="shared" si="1"/>
        <v>31</v>
      </c>
    </row>
    <row r="7" spans="1:10" ht="15" x14ac:dyDescent="0.35">
      <c r="A7" s="8" t="s">
        <v>108</v>
      </c>
      <c r="B7" s="1" t="s">
        <v>29</v>
      </c>
      <c r="C7" s="1" t="s">
        <v>67</v>
      </c>
      <c r="D7" s="1" t="s">
        <v>10</v>
      </c>
      <c r="E7" s="2">
        <v>24</v>
      </c>
      <c r="F7" s="1" t="s">
        <v>15</v>
      </c>
      <c r="G7" s="2">
        <v>11</v>
      </c>
      <c r="H7" s="6">
        <v>100</v>
      </c>
      <c r="I7" s="6">
        <f t="shared" si="0"/>
        <v>1100</v>
      </c>
      <c r="J7" s="2">
        <f t="shared" si="1"/>
        <v>13</v>
      </c>
    </row>
    <row r="8" spans="1:10" ht="15" x14ac:dyDescent="0.35">
      <c r="A8" s="8" t="s">
        <v>108</v>
      </c>
      <c r="B8" s="1" t="s">
        <v>29</v>
      </c>
      <c r="C8" s="8" t="s">
        <v>117</v>
      </c>
      <c r="D8" s="1" t="s">
        <v>10</v>
      </c>
      <c r="E8" s="2">
        <v>27</v>
      </c>
      <c r="F8" s="1" t="s">
        <v>27</v>
      </c>
      <c r="G8" s="2">
        <v>17</v>
      </c>
      <c r="H8" s="6">
        <v>100</v>
      </c>
      <c r="I8" s="6">
        <f t="shared" si="0"/>
        <v>1700</v>
      </c>
      <c r="J8" s="2">
        <f t="shared" si="1"/>
        <v>10</v>
      </c>
    </row>
    <row r="9" spans="1:10" ht="15" x14ac:dyDescent="0.35">
      <c r="A9" s="1" t="s">
        <v>32</v>
      </c>
      <c r="B9" s="1" t="s">
        <v>33</v>
      </c>
      <c r="C9" s="8" t="s">
        <v>112</v>
      </c>
      <c r="D9" s="1" t="s">
        <v>10</v>
      </c>
      <c r="E9" s="2">
        <v>7</v>
      </c>
      <c r="F9" s="1" t="s">
        <v>11</v>
      </c>
      <c r="G9" s="2">
        <v>5</v>
      </c>
      <c r="H9" s="6">
        <v>104</v>
      </c>
      <c r="I9" s="6">
        <f t="shared" si="0"/>
        <v>520</v>
      </c>
      <c r="J9" s="2">
        <f t="shared" si="1"/>
        <v>2</v>
      </c>
    </row>
    <row r="10" spans="1:10" ht="15" x14ac:dyDescent="0.35">
      <c r="A10" s="1" t="s">
        <v>36</v>
      </c>
      <c r="B10" s="1" t="s">
        <v>33</v>
      </c>
      <c r="C10" s="1" t="s">
        <v>38</v>
      </c>
      <c r="D10" s="1" t="s">
        <v>10</v>
      </c>
      <c r="E10" s="2">
        <v>21</v>
      </c>
      <c r="F10" s="1" t="s">
        <v>11</v>
      </c>
      <c r="G10" s="2">
        <v>16</v>
      </c>
      <c r="H10" s="6">
        <v>120</v>
      </c>
      <c r="I10" s="6">
        <f t="shared" si="0"/>
        <v>1920</v>
      </c>
      <c r="J10" s="2">
        <f t="shared" si="1"/>
        <v>5</v>
      </c>
    </row>
    <row r="11" spans="1:10" ht="15" x14ac:dyDescent="0.35">
      <c r="A11" s="1" t="s">
        <v>36</v>
      </c>
      <c r="B11" s="1" t="s">
        <v>33</v>
      </c>
      <c r="C11" s="1" t="s">
        <v>42</v>
      </c>
      <c r="D11" s="1" t="s">
        <v>10</v>
      </c>
      <c r="E11" s="2">
        <v>15</v>
      </c>
      <c r="F11" s="1" t="s">
        <v>11</v>
      </c>
      <c r="G11" s="2">
        <v>12</v>
      </c>
      <c r="H11" s="6">
        <v>108</v>
      </c>
      <c r="I11" s="6">
        <f t="shared" si="0"/>
        <v>1296</v>
      </c>
      <c r="J11" s="2">
        <f t="shared" si="1"/>
        <v>3</v>
      </c>
    </row>
    <row r="12" spans="1:10" ht="15" x14ac:dyDescent="0.35">
      <c r="A12" s="8" t="s">
        <v>109</v>
      </c>
      <c r="B12" s="1" t="s">
        <v>94</v>
      </c>
      <c r="C12" s="1" t="s">
        <v>95</v>
      </c>
      <c r="D12" s="1" t="s">
        <v>19</v>
      </c>
      <c r="E12" s="2">
        <v>23</v>
      </c>
      <c r="F12" s="1" t="s">
        <v>15</v>
      </c>
      <c r="G12" s="2">
        <v>14</v>
      </c>
      <c r="H12" s="6">
        <v>96</v>
      </c>
      <c r="I12" s="6">
        <f t="shared" si="0"/>
        <v>1344</v>
      </c>
      <c r="J12" s="2">
        <f t="shared" si="1"/>
        <v>9</v>
      </c>
    </row>
    <row r="13" spans="1:10" ht="15" x14ac:dyDescent="0.35">
      <c r="A13" s="1" t="s">
        <v>98</v>
      </c>
      <c r="B13" s="1" t="s">
        <v>94</v>
      </c>
      <c r="C13" s="1" t="s">
        <v>105</v>
      </c>
      <c r="D13" s="1" t="s">
        <v>19</v>
      </c>
      <c r="E13" s="2">
        <v>14</v>
      </c>
      <c r="F13" s="1" t="s">
        <v>27</v>
      </c>
      <c r="G13" s="2">
        <v>5</v>
      </c>
      <c r="H13" s="6">
        <v>111.2</v>
      </c>
      <c r="I13" s="6">
        <f t="shared" si="0"/>
        <v>556</v>
      </c>
      <c r="J13" s="2">
        <f t="shared" si="1"/>
        <v>9</v>
      </c>
    </row>
    <row r="14" spans="1:10" ht="15" x14ac:dyDescent="0.35">
      <c r="A14" s="8" t="s">
        <v>110</v>
      </c>
      <c r="B14" s="1" t="s">
        <v>54</v>
      </c>
      <c r="C14" s="8" t="s">
        <v>114</v>
      </c>
      <c r="D14" s="1" t="s">
        <v>19</v>
      </c>
      <c r="E14" s="2">
        <v>15</v>
      </c>
      <c r="F14" s="1" t="s">
        <v>11</v>
      </c>
      <c r="G14" s="2">
        <v>12</v>
      </c>
      <c r="H14" s="6">
        <v>50</v>
      </c>
      <c r="I14" s="6">
        <f t="shared" si="0"/>
        <v>600</v>
      </c>
      <c r="J14" s="2">
        <f t="shared" si="1"/>
        <v>3</v>
      </c>
    </row>
    <row r="15" spans="1:10" ht="15" x14ac:dyDescent="0.35">
      <c r="A15" s="8" t="s">
        <v>110</v>
      </c>
      <c r="B15" s="1" t="s">
        <v>54</v>
      </c>
      <c r="C15" s="8" t="s">
        <v>113</v>
      </c>
      <c r="D15" s="1" t="s">
        <v>10</v>
      </c>
      <c r="E15" s="2">
        <v>12</v>
      </c>
      <c r="F15" s="1" t="s">
        <v>11</v>
      </c>
      <c r="G15" s="2">
        <v>10</v>
      </c>
      <c r="H15" s="6">
        <v>34.799999999999997</v>
      </c>
      <c r="I15" s="6">
        <f t="shared" si="0"/>
        <v>348</v>
      </c>
      <c r="J15" s="2">
        <f t="shared" si="1"/>
        <v>2</v>
      </c>
    </row>
    <row r="16" spans="1:10" ht="15" x14ac:dyDescent="0.35">
      <c r="A16" s="1" t="s">
        <v>45</v>
      </c>
      <c r="B16" s="1" t="s">
        <v>46</v>
      </c>
      <c r="C16" s="1" t="s">
        <v>47</v>
      </c>
      <c r="D16" s="1" t="s">
        <v>19</v>
      </c>
      <c r="E16" s="2">
        <v>10</v>
      </c>
      <c r="F16" s="1" t="s">
        <v>15</v>
      </c>
      <c r="G16" s="2">
        <v>8</v>
      </c>
      <c r="H16" s="6">
        <v>128</v>
      </c>
      <c r="I16" s="6">
        <f t="shared" si="0"/>
        <v>1024</v>
      </c>
      <c r="J16" s="2">
        <f t="shared" si="1"/>
        <v>2</v>
      </c>
    </row>
    <row r="17" spans="1:10" ht="15" x14ac:dyDescent="0.35">
      <c r="A17" s="1" t="s">
        <v>45</v>
      </c>
      <c r="B17" s="1" t="s">
        <v>46</v>
      </c>
      <c r="C17" s="1" t="s">
        <v>50</v>
      </c>
      <c r="D17" s="1" t="s">
        <v>19</v>
      </c>
      <c r="E17" s="2">
        <v>28</v>
      </c>
      <c r="F17" s="1" t="s">
        <v>27</v>
      </c>
      <c r="G17" s="2">
        <v>12</v>
      </c>
      <c r="H17" s="6">
        <v>140</v>
      </c>
      <c r="I17" s="6">
        <f t="shared" si="0"/>
        <v>1680</v>
      </c>
      <c r="J17" s="2">
        <f t="shared" si="1"/>
        <v>16</v>
      </c>
    </row>
    <row r="18" spans="1:10" ht="15" x14ac:dyDescent="0.35">
      <c r="A18" s="1" t="s">
        <v>45</v>
      </c>
      <c r="B18" s="1" t="s">
        <v>46</v>
      </c>
      <c r="C18" s="8" t="s">
        <v>115</v>
      </c>
      <c r="D18" s="1" t="s">
        <v>10</v>
      </c>
      <c r="E18" s="2">
        <v>25</v>
      </c>
      <c r="F18" s="1" t="s">
        <v>11</v>
      </c>
      <c r="G18" s="2">
        <v>20</v>
      </c>
      <c r="H18" s="6">
        <v>124</v>
      </c>
      <c r="I18" s="6">
        <f t="shared" si="0"/>
        <v>2480</v>
      </c>
      <c r="J18" s="2">
        <f t="shared" si="1"/>
        <v>5</v>
      </c>
    </row>
    <row r="19" spans="1:10" ht="15" x14ac:dyDescent="0.35">
      <c r="A19" s="1" t="s">
        <v>23</v>
      </c>
      <c r="B19" s="1" t="s">
        <v>24</v>
      </c>
      <c r="C19" s="1" t="s">
        <v>21</v>
      </c>
      <c r="D19" s="1" t="s">
        <v>19</v>
      </c>
      <c r="E19" s="2">
        <v>10</v>
      </c>
      <c r="F19" s="1" t="s">
        <v>15</v>
      </c>
      <c r="G19" s="2">
        <v>10</v>
      </c>
      <c r="H19" s="6">
        <v>86.8</v>
      </c>
      <c r="I19" s="6">
        <f t="shared" si="0"/>
        <v>868</v>
      </c>
      <c r="J19" s="2">
        <f t="shared" si="1"/>
        <v>0</v>
      </c>
    </row>
    <row r="20" spans="1:10" ht="15" x14ac:dyDescent="0.35">
      <c r="A20" s="1" t="s">
        <v>23</v>
      </c>
      <c r="B20" s="1" t="s">
        <v>24</v>
      </c>
      <c r="C20" s="1" t="s">
        <v>25</v>
      </c>
      <c r="D20" s="1" t="s">
        <v>19</v>
      </c>
      <c r="E20" s="2">
        <v>12</v>
      </c>
      <c r="F20" s="1" t="s">
        <v>27</v>
      </c>
      <c r="G20" s="2">
        <v>8</v>
      </c>
      <c r="H20" s="6">
        <v>79.2</v>
      </c>
      <c r="I20" s="6">
        <f t="shared" si="0"/>
        <v>633.6</v>
      </c>
      <c r="J20" s="2">
        <f t="shared" si="1"/>
        <v>4</v>
      </c>
    </row>
    <row r="21" spans="1:10" ht="15" x14ac:dyDescent="0.35">
      <c r="A21" s="1" t="s">
        <v>104</v>
      </c>
      <c r="B21" s="1" t="s">
        <v>24</v>
      </c>
      <c r="C21" s="1" t="s">
        <v>79</v>
      </c>
      <c r="D21" s="1" t="s">
        <v>19</v>
      </c>
      <c r="E21" s="2">
        <v>40</v>
      </c>
      <c r="F21" s="1" t="s">
        <v>11</v>
      </c>
      <c r="G21" s="2">
        <v>28</v>
      </c>
      <c r="H21" s="6">
        <v>110.4</v>
      </c>
      <c r="I21" s="6">
        <f t="shared" si="0"/>
        <v>3091.2000000000003</v>
      </c>
      <c r="J21" s="2">
        <f t="shared" si="1"/>
        <v>12</v>
      </c>
    </row>
    <row r="22" spans="1:10" ht="15" x14ac:dyDescent="0.35">
      <c r="A22" s="1" t="s">
        <v>7</v>
      </c>
      <c r="B22" s="1" t="s">
        <v>8</v>
      </c>
      <c r="C22" s="1" t="s">
        <v>9</v>
      </c>
      <c r="D22" s="1" t="s">
        <v>10</v>
      </c>
      <c r="E22" s="2">
        <v>5</v>
      </c>
      <c r="F22" s="1" t="s">
        <v>11</v>
      </c>
      <c r="G22" s="2">
        <v>4</v>
      </c>
      <c r="H22" s="6">
        <v>102</v>
      </c>
      <c r="I22" s="6">
        <f t="shared" si="0"/>
        <v>408</v>
      </c>
      <c r="J22" s="2">
        <f t="shared" si="1"/>
        <v>1</v>
      </c>
    </row>
    <row r="23" spans="1:10" ht="15" x14ac:dyDescent="0.35">
      <c r="A23" s="1" t="s">
        <v>16</v>
      </c>
      <c r="B23" s="1" t="s">
        <v>8</v>
      </c>
      <c r="C23" s="1" t="s">
        <v>13</v>
      </c>
      <c r="D23" s="1" t="s">
        <v>10</v>
      </c>
      <c r="E23" s="2">
        <v>8</v>
      </c>
      <c r="F23" s="1" t="s">
        <v>15</v>
      </c>
      <c r="G23" s="2">
        <v>5</v>
      </c>
      <c r="H23" s="6">
        <v>100</v>
      </c>
      <c r="I23" s="6">
        <f t="shared" si="0"/>
        <v>500</v>
      </c>
      <c r="J23" s="2">
        <f t="shared" si="1"/>
        <v>3</v>
      </c>
    </row>
    <row r="24" spans="1:10" ht="15" x14ac:dyDescent="0.35">
      <c r="A24" s="1" t="s">
        <v>16</v>
      </c>
      <c r="B24" s="1" t="s">
        <v>8</v>
      </c>
      <c r="C24" s="1" t="s">
        <v>18</v>
      </c>
      <c r="D24" s="1" t="s">
        <v>19</v>
      </c>
      <c r="E24" s="2">
        <v>7</v>
      </c>
      <c r="F24" s="1" t="s">
        <v>11</v>
      </c>
      <c r="G24" s="2">
        <v>3</v>
      </c>
      <c r="H24" s="6">
        <v>122</v>
      </c>
      <c r="I24" s="6">
        <f t="shared" si="0"/>
        <v>366</v>
      </c>
      <c r="J24" s="2">
        <f t="shared" si="1"/>
        <v>4</v>
      </c>
    </row>
    <row r="25" spans="1:10" ht="15" x14ac:dyDescent="0.35">
      <c r="A25" s="1" t="s">
        <v>82</v>
      </c>
      <c r="B25" s="1" t="s">
        <v>8</v>
      </c>
      <c r="C25" s="1" t="s">
        <v>84</v>
      </c>
      <c r="D25" s="1" t="s">
        <v>19</v>
      </c>
      <c r="E25" s="2">
        <v>12</v>
      </c>
      <c r="F25" s="1" t="s">
        <v>27</v>
      </c>
      <c r="G25" s="2">
        <v>3</v>
      </c>
      <c r="H25" s="6">
        <v>77.599999999999994</v>
      </c>
      <c r="I25" s="6">
        <f t="shared" si="0"/>
        <v>232.79999999999998</v>
      </c>
      <c r="J25" s="2">
        <f t="shared" si="1"/>
        <v>9</v>
      </c>
    </row>
    <row r="26" spans="1:10" ht="15" x14ac:dyDescent="0.35">
      <c r="A26" s="1" t="s">
        <v>103</v>
      </c>
      <c r="B26" s="1" t="s">
        <v>8</v>
      </c>
      <c r="C26" s="1" t="s">
        <v>88</v>
      </c>
      <c r="D26" s="1" t="s">
        <v>19</v>
      </c>
      <c r="E26" s="2">
        <v>14</v>
      </c>
      <c r="F26" s="1" t="s">
        <v>15</v>
      </c>
      <c r="G26" s="2">
        <v>2</v>
      </c>
      <c r="H26" s="6">
        <v>128</v>
      </c>
      <c r="I26" s="6">
        <f t="shared" si="0"/>
        <v>256</v>
      </c>
      <c r="J26" s="2">
        <f t="shared" si="1"/>
        <v>12</v>
      </c>
    </row>
    <row r="27" spans="1:10" ht="15" x14ac:dyDescent="0.35">
      <c r="A27" s="1" t="s">
        <v>103</v>
      </c>
      <c r="B27" s="1" t="s">
        <v>8</v>
      </c>
      <c r="C27" s="1" t="s">
        <v>106</v>
      </c>
      <c r="D27" s="1" t="s">
        <v>19</v>
      </c>
      <c r="E27" s="2">
        <v>9</v>
      </c>
      <c r="F27" s="1" t="s">
        <v>65</v>
      </c>
      <c r="G27" s="2">
        <v>1</v>
      </c>
      <c r="H27" s="6">
        <v>120</v>
      </c>
      <c r="I27" s="6">
        <f t="shared" si="0"/>
        <v>120</v>
      </c>
      <c r="J27" s="2">
        <f t="shared" si="1"/>
        <v>8</v>
      </c>
    </row>
  </sheetData>
  <mergeCells count="1">
    <mergeCell ref="A1:J1"/>
  </mergeCells>
  <pageMargins left="1.25" right="1.25" top="1" bottom="0.79166666666666696" header="0.25" footer="0.2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2021-10-12T20:16:03Z</dcterms:created>
  <dcterms:modified xsi:type="dcterms:W3CDTF">2022-01-29T23:32:00Z</dcterms:modified>
</cp:coreProperties>
</file>